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dustry Base Multiples" sheetId="2" state="visible" r:id="rId2"/>
    <sheet name="Owner Dependency Adj" sheetId="3" state="visible" r:id="rId3"/>
    <sheet name="Universal Factor Adj" sheetId="4" state="visible" r:id="rId4"/>
    <sheet name="Bonus Adjustments" sheetId="5" state="visible" r:id="rId5"/>
    <sheet name="Score Weights" sheetId="6" state="visible" r:id="rId6"/>
    <sheet name="Valuation Range Bands" sheetId="7" state="visible" r:id="rId7"/>
    <sheet name="Trajectory Logic" sheetId="8" state="visible" r:id="rId8"/>
    <sheet name="Methodology Notices" sheetId="9" state="visible" r:id="rId9"/>
    <sheet name="Full Calc Example" sheetId="10" state="visible" r:id="rId10"/>
  </sheets>
  <definedNames/>
  <calcPr calcId="124519" fullCalcOnLoad="1"/>
</workbook>
</file>

<file path=xl/styles.xml><?xml version="1.0" encoding="utf-8"?>
<styleSheet xmlns="http://schemas.openxmlformats.org/spreadsheetml/2006/main">
  <numFmts count="5">
    <numFmt numFmtId="164" formatCode="0.00&quot;x&quot;"/>
    <numFmt numFmtId="165" formatCode="+0.00;-0.00;0.00"/>
    <numFmt numFmtId="166" formatCode="+0.00&quot;x&quot;;-0.00&quot;x&quot;;0.00&quot;x&quot;"/>
    <numFmt numFmtId="167" formatCode="+0.0;-0.0;0.0"/>
    <numFmt numFmtId="168" formatCode="$#,##0"/>
  </numFmts>
  <fonts count="9">
    <font>
      <name val="Calibri"/>
      <family val="2"/>
      <color theme="1"/>
      <sz val="11"/>
      <scheme val="minor"/>
    </font>
    <font>
      <name val="Arial"/>
      <b val="1"/>
      <color rgb="FFFFFFFF"/>
      <sz val="14"/>
    </font>
    <font>
      <name val="Arial"/>
      <i val="1"/>
      <color rgb="FF000000"/>
      <sz val="10"/>
    </font>
    <font>
      <name val="Arial"/>
      <b val="1"/>
      <color rgb="FF000000"/>
      <sz val="10"/>
    </font>
    <font>
      <name val="Arial"/>
      <color rgb="FF000000"/>
      <sz val="10"/>
    </font>
    <font>
      <name val="Arial"/>
      <b val="1"/>
      <color rgb="FFFFFFFF"/>
      <sz val="10"/>
    </font>
    <font>
      <name val="Calibri"/>
      <color rgb="FF0000FF"/>
      <sz val="11"/>
    </font>
    <font>
      <name val="Arial"/>
      <i val="1"/>
      <color rgb="FF4A6080"/>
      <sz val="9"/>
    </font>
    <font>
      <name val="Calibri"/>
      <color rgb="FF000000"/>
      <sz val="11"/>
    </font>
  </fonts>
  <fills count="5">
    <fill>
      <patternFill/>
    </fill>
    <fill>
      <patternFill patternType="gray125"/>
    </fill>
    <fill>
      <patternFill patternType="solid">
        <fgColor rgb="FF1B2A4A"/>
      </patternFill>
    </fill>
    <fill>
      <patternFill patternType="solid">
        <fgColor rgb="FF2D4A7A"/>
      </patternFill>
    </fill>
    <fill>
      <patternFill patternType="solid">
        <fgColor rgb="FFF5EDD4"/>
      </patternFill>
    </fill>
  </fills>
  <borders count="6">
    <border>
      <left/>
      <right/>
      <top/>
      <bottom/>
      <diagonal/>
    </border>
    <border>
      <left style="thin">
        <color rgb="FFD0D7E2"/>
      </left>
      <right style="thin">
        <color rgb="FFD0D7E2"/>
      </right>
      <top style="thin">
        <color rgb="FFD0D7E2"/>
      </top>
      <bottom style="thin">
        <color rgb="FFD0D7E2"/>
      </bottom>
    </border>
    <border>
      <left/>
      <right/>
      <top style="thin">
        <color rgb="FFD0D7E2"/>
      </top>
      <bottom/>
      <diagonal/>
    </border>
    <border>
      <left/>
      <right style="thin">
        <color rgb="FFD0D7E2"/>
      </right>
      <top style="thin">
        <color rgb="FFD0D7E2"/>
      </top>
      <bottom/>
      <diagonal/>
    </border>
    <border>
      <left/>
      <right/>
      <top style="thin">
        <color rgb="FFD0D7E2"/>
      </top>
      <bottom style="thin">
        <color rgb="FFD0D7E2"/>
      </bottom>
      <diagonal/>
    </border>
    <border>
      <left/>
      <right style="thin">
        <color rgb="FFD0D7E2"/>
      </right>
      <top style="thin">
        <color rgb="FFD0D7E2"/>
      </top>
      <bottom style="thin">
        <color rgb="FFD0D7E2"/>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wrapText="1" indent="1"/>
    </xf>
    <xf numFmtId="0" fontId="2" fillId="0" borderId="0" applyAlignment="1" pivotButton="0" quotePrefix="0" xfId="0">
      <alignment horizontal="left" vertical="center" wrapText="1" indent="1"/>
    </xf>
    <xf numFmtId="0" fontId="3" fillId="0" borderId="0" applyAlignment="1" pivotButton="0" quotePrefix="0" xfId="0">
      <alignment horizontal="left" vertical="top" wrapText="1" indent="1"/>
    </xf>
    <xf numFmtId="0" fontId="4" fillId="0" borderId="0" applyAlignment="1" pivotButton="0" quotePrefix="0" xfId="0">
      <alignment horizontal="left" vertical="top" wrapText="1" indent="1"/>
    </xf>
    <xf numFmtId="0" fontId="5" fillId="2" borderId="1" applyAlignment="1" pivotButton="0" quotePrefix="0" xfId="0">
      <alignment horizontal="center" vertical="center" wrapText="1"/>
    </xf>
    <xf numFmtId="0" fontId="5" fillId="3" borderId="1" applyAlignment="1" pivotButton="0" quotePrefix="0" xfId="0">
      <alignment horizontal="left" vertical="center" indent="1"/>
    </xf>
    <xf numFmtId="0" fontId="4" fillId="0" borderId="1" applyAlignment="1" pivotButton="0" quotePrefix="0" xfId="0">
      <alignment horizontal="left" vertical="center" wrapText="1" indent="1"/>
    </xf>
    <xf numFmtId="164" fontId="6" fillId="0" borderId="1" applyAlignment="1" pivotButton="0" quotePrefix="0" xfId="0">
      <alignment horizontal="right" vertical="center"/>
    </xf>
    <xf numFmtId="0" fontId="7" fillId="0" borderId="1" applyAlignment="1" pivotButton="0" quotePrefix="0" xfId="0">
      <alignment horizontal="left" vertical="center" wrapText="1" indent="1"/>
    </xf>
    <xf numFmtId="165" fontId="6" fillId="0" borderId="1" applyAlignment="1" pivotButton="0" quotePrefix="0" xfId="0">
      <alignment horizontal="right" vertical="center"/>
    </xf>
    <xf numFmtId="166" fontId="8" fillId="0" borderId="1" applyAlignment="1" pivotButton="0" quotePrefix="0" xfId="0">
      <alignment horizontal="right" vertical="center"/>
    </xf>
    <xf numFmtId="0" fontId="3" fillId="0" borderId="1" applyAlignment="1" pivotButton="0" quotePrefix="0" xfId="0">
      <alignment horizontal="left" vertical="center" wrapText="1" indent="1"/>
    </xf>
    <xf numFmtId="0" fontId="7" fillId="0" borderId="0" applyAlignment="1" pivotButton="0" quotePrefix="0" xfId="0">
      <alignment horizontal="left" vertical="center" indent="2"/>
    </xf>
    <xf numFmtId="166" fontId="6" fillId="0" borderId="1" applyAlignment="1" pivotButton="0" quotePrefix="0" xfId="0">
      <alignment horizontal="right" vertical="center"/>
    </xf>
    <xf numFmtId="0" fontId="8" fillId="0" borderId="1" applyAlignment="1" pivotButton="0" quotePrefix="0" xfId="0">
      <alignment horizontal="right" vertical="center"/>
    </xf>
    <xf numFmtId="167" fontId="8" fillId="0" borderId="1" applyAlignment="1" pivotButton="0" quotePrefix="0" xfId="0">
      <alignment horizontal="right" vertical="center"/>
    </xf>
    <xf numFmtId="0" fontId="7" fillId="0" borderId="1" applyAlignment="1" pivotButton="0" quotePrefix="0" xfId="0">
      <alignment horizontal="center" vertical="center"/>
    </xf>
    <xf numFmtId="0" fontId="0" fillId="0" borderId="4" pivotButton="0" quotePrefix="0" xfId="0"/>
    <xf numFmtId="0" fontId="0" fillId="0" borderId="5" pivotButton="0" quotePrefix="0" xfId="0"/>
    <xf numFmtId="2" fontId="6" fillId="0" borderId="1" applyAlignment="1" pivotButton="0" quotePrefix="0" xfId="0">
      <alignment horizontal="right" vertical="center"/>
    </xf>
    <xf numFmtId="0" fontId="3" fillId="4" borderId="0" applyAlignment="1" pivotButton="0" quotePrefix="0" xfId="0">
      <alignment horizontal="left" vertical="center" indent="1"/>
    </xf>
    <xf numFmtId="0" fontId="6" fillId="0" borderId="1" applyAlignment="1" pivotButton="0" quotePrefix="0" xfId="0">
      <alignment horizontal="right" vertical="center"/>
    </xf>
    <xf numFmtId="168" fontId="6" fillId="0" borderId="1" applyAlignment="1" pivotButton="0" quotePrefix="0" xfId="0">
      <alignment horizontal="right" vertical="center"/>
    </xf>
    <xf numFmtId="168" fontId="8" fillId="0" borderId="1" applyAlignment="1" pivotButton="0" quotePrefix="0" xfId="0">
      <alignment horizontal="right" vertical="center"/>
    </xf>
    <xf numFmtId="165" fontId="8" fillId="0" borderId="1" applyAlignment="1" pivotButton="0" quotePrefix="0" xfId="0">
      <alignment horizontal="right" vertical="center"/>
    </xf>
    <xf numFmtId="164" fontId="8" fillId="0" borderId="1" applyAlignment="1" pivotButton="0" quotePrefix="0" xfId="0">
      <alignment horizontal="right" vertical="center"/>
    </xf>
    <xf numFmtId="1" fontId="8"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110" customWidth="1" min="2" max="2"/>
  </cols>
  <sheetData>
    <row r="1" ht="28" customHeight="1">
      <c r="A1" s="1" t="inlineStr">
        <is>
          <t>EdgeFour Value — Current Production Model (snapshot 2026-04-29 @ git 4db8ab8)</t>
        </is>
      </c>
    </row>
    <row r="2" ht="70" customHeight="1">
      <c r="A2" s="2" t="inlineStr">
        <is>
          <t>Every value in this workbook was parsed at generation time from api/_lib/calculator.ts and public/industry-options-fragment.html, so it is a complete and current picture of what the app does today. Re-run generate_valuation_spec.py at any time to regenerate against the latest code. Blue cells = inputs the model treats as editable. Black cells = derived/calculated.</t>
        </is>
      </c>
    </row>
    <row r="4" ht="32" customHeight="1">
      <c r="A4" s="3" t="inlineStr">
        <is>
          <t>Source of truth</t>
        </is>
      </c>
      <c r="B4" s="4" t="inlineStr">
        <is>
          <t>api/_lib/calculator.ts (111 industries, 6 sliders, bonuses, scoring, trajectory)</t>
        </is>
      </c>
    </row>
    <row r="5" ht="32" customHeight="1">
      <c r="A5" s="3" t="inlineStr">
        <is>
          <t>Industry labels</t>
        </is>
      </c>
      <c r="B5" s="4" t="inlineStr">
        <is>
          <t>public/industry-options-fragment.html (111 entries across 16 categories)</t>
        </is>
      </c>
    </row>
    <row r="6" ht="32" customHeight="1">
      <c r="A6" s="3" t="inlineStr">
        <is>
          <t>Sheet: Industry Base Multiples</t>
        </is>
      </c>
      <c r="B6" s="4" t="inlineStr">
        <is>
          <t>Baseline EBITDA multiple assigned to each industry before any slider or bonus adjustment.</t>
        </is>
      </c>
    </row>
    <row r="7" ht="32" customHeight="1">
      <c r="A7" s="3" t="inlineStr">
        <is>
          <t>Sheet: Owner Dependency Adj</t>
        </is>
      </c>
      <c r="B7" s="4" t="inlineStr">
        <is>
          <t>Industry-specific multiple adjustments for the Owner Dependency / Management Team slider — the only factor with industry-specific sensitivity.</t>
        </is>
      </c>
    </row>
    <row r="8" ht="32" customHeight="1">
      <c r="A8" s="3" t="inlineStr">
        <is>
          <t>Sheet: Universal Factor Adj</t>
        </is>
      </c>
      <c r="B8" s="4" t="inlineStr">
        <is>
          <t>Multiple adjustments for revenue growth, recurring revenue, customer concentration, systems maturity, and financial records — identical across all industries.</t>
        </is>
      </c>
    </row>
    <row r="9" ht="32" customHeight="1">
      <c r="A9" s="3" t="inlineStr">
        <is>
          <t>Sheet: Bonus Adjustments</t>
        </is>
      </c>
      <c r="B9" s="4" t="inlineStr">
        <is>
          <t>Years-in-business and revenue-scale bonuses — flat absolute multiple bumps added on top of slider adjustments.</t>
        </is>
      </c>
    </row>
    <row r="10" ht="32" customHeight="1">
      <c r="A10" s="3" t="inlineStr">
        <is>
          <t>Sheet: Score Weights</t>
        </is>
      </c>
      <c r="B10" s="4" t="inlineStr">
        <is>
          <t>Weights used to compute the 0–100 Business Value Score, plus the score-band thresholds.</t>
        </is>
      </c>
    </row>
    <row r="11" ht="32" customHeight="1">
      <c r="A11" s="3" t="inlineStr">
        <is>
          <t>Sheet: Valuation Range Bands</t>
        </is>
      </c>
      <c r="B11" s="4" t="inlineStr">
        <is>
          <t>Multipliers used to spread the base valuation into a low / base / high range (current production: 0.85 / 1.00 / 1.15).</t>
        </is>
      </c>
    </row>
    <row r="12" ht="32" customHeight="1">
      <c r="A12" s="3" t="inlineStr">
        <is>
          <t>Sheet: Trajectory Logic</t>
        </is>
      </c>
      <c r="B12" s="4" t="inlineStr">
        <is>
          <t>How the “After Key Improvements” trajectory uplift is computed (clampDelta capped at 2 levels per factor; total capped at baseMultiple + 3.5).</t>
        </is>
      </c>
    </row>
    <row r="13" ht="32" customHeight="1">
      <c r="A13" s="3" t="inlineStr">
        <is>
          <t>Sheet: Methodology Notices</t>
        </is>
      </c>
      <c r="B13" s="4" t="inlineStr">
        <is>
          <t>Industries flagged with a non-EBITDA primary methodology — full notice text shown to the user on the results page.</t>
        </is>
      </c>
    </row>
    <row r="14" ht="32" customHeight="1">
      <c r="A14" s="3" t="inlineStr">
        <is>
          <t>Sheet: Full Calc Example</t>
        </is>
      </c>
      <c r="B14" s="4" t="inlineStr">
        <is>
          <t>End-to-end worked example combining every component for a sample HVAC business. Edit the blue cells to model different scenarios.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0"/>
  <sheetViews>
    <sheetView workbookViewId="0">
      <pane ySplit="3" topLeftCell="A4" activePane="bottomLeft" state="frozen"/>
      <selection pane="bottomLeft" activeCell="A1" sqref="A1"/>
    </sheetView>
  </sheetViews>
  <sheetFormatPr baseColWidth="8" defaultRowHeight="15"/>
  <cols>
    <col width="30" customWidth="1" min="1" max="1"/>
    <col width="48" customWidth="1" min="2" max="2"/>
    <col width="14" customWidth="1" min="3" max="3"/>
    <col width="16" customWidth="1" min="4" max="4"/>
    <col width="28" customWidth="1" min="5" max="5"/>
  </cols>
  <sheetData>
    <row r="1" ht="28" customHeight="1">
      <c r="A1" s="1" t="inlineStr">
        <is>
          <t>Industry Base EBITDA Multiples — All 111 Industries</t>
        </is>
      </c>
    </row>
    <row r="2" ht="60" customHeight="1">
      <c r="A2" s="2" t="inlineStr">
        <is>
          <t>Base Multiple is the EBITDA multiple for a typical well-run business in this category before any slider or bonus adjustments. Industries marked with ⚠ use a non-EBITDA primary methodology — see the Methodology Notices sheet for the full user-facing explanation. Blue values are the inputs the calculator reads directly.</t>
        </is>
      </c>
    </row>
    <row r="3" ht="30" customHeight="1">
      <c r="A3" s="5" t="inlineStr">
        <is>
          <t>Category</t>
        </is>
      </c>
      <c r="B3" s="5" t="inlineStr">
        <is>
          <t>Industry / Sub-Type</t>
        </is>
      </c>
      <c r="C3" s="5" t="inlineStr">
        <is>
          <t>Base Multiple</t>
        </is>
      </c>
      <c r="D3" s="5" t="inlineStr">
        <is>
          <t>Method Note</t>
        </is>
      </c>
      <c r="E3" s="5" t="inlineStr">
        <is>
          <t>Industry Code (slug)</t>
        </is>
      </c>
    </row>
    <row r="4" ht="22" customHeight="1">
      <c r="A4" s="6" t="inlineStr">
        <is>
          <t>Manufacturing &amp; Distribution</t>
        </is>
      </c>
    </row>
    <row r="5">
      <c r="A5" s="7" t="inlineStr">
        <is>
          <t>Manufacturing &amp; Distribution</t>
        </is>
      </c>
      <c r="B5" s="7" t="inlineStr">
        <is>
          <t>General Manufacturing</t>
        </is>
      </c>
      <c r="C5" s="8" t="n">
        <v>4</v>
      </c>
      <c r="D5" s="7" t="inlineStr"/>
      <c r="E5" s="9" t="inlineStr">
        <is>
          <t>manufacturing</t>
        </is>
      </c>
    </row>
    <row r="6">
      <c r="A6" s="7" t="inlineStr">
        <is>
          <t>Manufacturing &amp; Distribution</t>
        </is>
      </c>
      <c r="B6" s="7" t="inlineStr">
        <is>
          <t>Specialty / Niche Manufacturing</t>
        </is>
      </c>
      <c r="C6" s="8" t="n">
        <v>5.25</v>
      </c>
      <c r="D6" s="7" t="inlineStr"/>
      <c r="E6" s="9" t="inlineStr">
        <is>
          <t>mfg_specialty</t>
        </is>
      </c>
    </row>
    <row r="7">
      <c r="A7" s="7" t="inlineStr">
        <is>
          <t>Manufacturing &amp; Distribution</t>
        </is>
      </c>
      <c r="B7" s="7" t="inlineStr">
        <is>
          <t>Food Manufacturing / Processing</t>
        </is>
      </c>
      <c r="C7" s="8" t="n">
        <v>3.5</v>
      </c>
      <c r="D7" s="7" t="inlineStr"/>
      <c r="E7" s="9" t="inlineStr">
        <is>
          <t>food_processing</t>
        </is>
      </c>
    </row>
    <row r="8">
      <c r="A8" s="7" t="inlineStr">
        <is>
          <t>Manufacturing &amp; Distribution</t>
        </is>
      </c>
      <c r="B8" s="7" t="inlineStr">
        <is>
          <t>Machine Shop</t>
        </is>
      </c>
      <c r="C8" s="8" t="n">
        <v>3.25</v>
      </c>
      <c r="D8" s="7" t="inlineStr"/>
      <c r="E8" s="9" t="inlineStr">
        <is>
          <t>machine_shop</t>
        </is>
      </c>
    </row>
    <row r="9">
      <c r="A9" s="7" t="inlineStr">
        <is>
          <t>Manufacturing &amp; Distribution</t>
        </is>
      </c>
      <c r="B9" s="7" t="inlineStr">
        <is>
          <t>Distribution / Wholesale — General</t>
        </is>
      </c>
      <c r="C9" s="8" t="n">
        <v>3.75</v>
      </c>
      <c r="D9" s="7" t="inlineStr"/>
      <c r="E9" s="9" t="inlineStr">
        <is>
          <t>distribution</t>
        </is>
      </c>
    </row>
    <row r="10">
      <c r="A10" s="7" t="inlineStr">
        <is>
          <t>Manufacturing &amp; Distribution</t>
        </is>
      </c>
      <c r="B10" s="7" t="inlineStr">
        <is>
          <t>Distribution — Specialty / Niche</t>
        </is>
      </c>
      <c r="C10" s="8" t="n">
        <v>4</v>
      </c>
      <c r="D10" s="7" t="inlineStr"/>
      <c r="E10" s="9" t="inlineStr">
        <is>
          <t>distribution_specialty</t>
        </is>
      </c>
    </row>
    <row r="11">
      <c r="A11" s="7" t="inlineStr">
        <is>
          <t>Manufacturing &amp; Distribution</t>
        </is>
      </c>
      <c r="B11" s="7" t="inlineStr">
        <is>
          <t>Industrial Services</t>
        </is>
      </c>
      <c r="C11" s="8" t="n">
        <v>3.5</v>
      </c>
      <c r="D11" s="7" t="inlineStr"/>
      <c r="E11" s="9" t="inlineStr">
        <is>
          <t>industrial_services</t>
        </is>
      </c>
    </row>
    <row r="12" ht="22" customHeight="1">
      <c r="A12" s="6" t="inlineStr">
        <is>
          <t>Home &amp; Field Services</t>
        </is>
      </c>
    </row>
    <row r="13">
      <c r="A13" s="7" t="inlineStr">
        <is>
          <t>Home &amp; Field Services</t>
        </is>
      </c>
      <c r="B13" s="7" t="inlineStr">
        <is>
          <t>HVAC</t>
        </is>
      </c>
      <c r="C13" s="8" t="n">
        <v>4.5</v>
      </c>
      <c r="D13" s="7" t="inlineStr"/>
      <c r="E13" s="9" t="inlineStr">
        <is>
          <t>hvac</t>
        </is>
      </c>
    </row>
    <row r="14">
      <c r="A14" s="7" t="inlineStr">
        <is>
          <t>Home &amp; Field Services</t>
        </is>
      </c>
      <c r="B14" s="7" t="inlineStr">
        <is>
          <t>Plumbing</t>
        </is>
      </c>
      <c r="C14" s="8" t="n">
        <v>4</v>
      </c>
      <c r="D14" s="7" t="inlineStr"/>
      <c r="E14" s="9" t="inlineStr">
        <is>
          <t>plumbing</t>
        </is>
      </c>
    </row>
    <row r="15">
      <c r="A15" s="7" t="inlineStr">
        <is>
          <t>Home &amp; Field Services</t>
        </is>
      </c>
      <c r="B15" s="7" t="inlineStr">
        <is>
          <t>Electrical</t>
        </is>
      </c>
      <c r="C15" s="8" t="n">
        <v>4</v>
      </c>
      <c r="D15" s="7" t="inlineStr"/>
      <c r="E15" s="9" t="inlineStr">
        <is>
          <t>electrical</t>
        </is>
      </c>
    </row>
    <row r="16">
      <c r="A16" s="7" t="inlineStr">
        <is>
          <t>Home &amp; Field Services</t>
        </is>
      </c>
      <c r="B16" s="7" t="inlineStr">
        <is>
          <t>Roofing</t>
        </is>
      </c>
      <c r="C16" s="8" t="n">
        <v>3.5</v>
      </c>
      <c r="D16" s="7" t="inlineStr"/>
      <c r="E16" s="9" t="inlineStr">
        <is>
          <t>roofing</t>
        </is>
      </c>
    </row>
    <row r="17">
      <c r="A17" s="7" t="inlineStr">
        <is>
          <t>Home &amp; Field Services</t>
        </is>
      </c>
      <c r="B17" s="7" t="inlineStr">
        <is>
          <t>Landscape Maintenance — Residential</t>
        </is>
      </c>
      <c r="C17" s="8" t="n">
        <v>4</v>
      </c>
      <c r="D17" s="7" t="inlineStr"/>
      <c r="E17" s="9" t="inlineStr">
        <is>
          <t>landscape_residential</t>
        </is>
      </c>
    </row>
    <row r="18">
      <c r="A18" s="7" t="inlineStr">
        <is>
          <t>Home &amp; Field Services</t>
        </is>
      </c>
      <c r="B18" s="7" t="inlineStr">
        <is>
          <t>Landscape Maintenance — Commercial / B2B</t>
        </is>
      </c>
      <c r="C18" s="8" t="n">
        <v>5</v>
      </c>
      <c r="D18" s="7" t="inlineStr"/>
      <c r="E18" s="9" t="inlineStr">
        <is>
          <t>landscape_commercial</t>
        </is>
      </c>
    </row>
    <row r="19">
      <c r="A19" s="7" t="inlineStr">
        <is>
          <t>Home &amp; Field Services</t>
        </is>
      </c>
      <c r="B19" s="7" t="inlineStr">
        <is>
          <t>Pest Control — Residential</t>
        </is>
      </c>
      <c r="C19" s="8" t="n">
        <v>4.5</v>
      </c>
      <c r="D19" s="7" t="inlineStr"/>
      <c r="E19" s="9" t="inlineStr">
        <is>
          <t>pest_residential</t>
        </is>
      </c>
    </row>
    <row r="20">
      <c r="A20" s="7" t="inlineStr">
        <is>
          <t>Home &amp; Field Services</t>
        </is>
      </c>
      <c r="B20" s="7" t="inlineStr">
        <is>
          <t>Pest Control — Commercial / B2B</t>
        </is>
      </c>
      <c r="C20" s="8" t="n">
        <v>5</v>
      </c>
      <c r="D20" s="7" t="inlineStr"/>
      <c r="E20" s="9" t="inlineStr">
        <is>
          <t>pest_commercial</t>
        </is>
      </c>
    </row>
    <row r="21">
      <c r="A21" s="7" t="inlineStr">
        <is>
          <t>Home &amp; Field Services</t>
        </is>
      </c>
      <c r="B21" s="7" t="inlineStr">
        <is>
          <t>Pool Service &amp; Maintenance</t>
        </is>
      </c>
      <c r="C21" s="8" t="n">
        <v>4.5</v>
      </c>
      <c r="D21" s="7" t="inlineStr"/>
      <c r="E21" s="9" t="inlineStr">
        <is>
          <t>pool_service</t>
        </is>
      </c>
    </row>
    <row r="22">
      <c r="A22" s="7" t="inlineStr">
        <is>
          <t>Home &amp; Field Services</t>
        </is>
      </c>
      <c r="B22" s="7" t="inlineStr">
        <is>
          <t>Cleaning — Residential / Maid Services</t>
        </is>
      </c>
      <c r="C22" s="8" t="n">
        <v>3</v>
      </c>
      <c r="D22" s="7" t="inlineStr"/>
      <c r="E22" s="9" t="inlineStr">
        <is>
          <t>cleaning_residential</t>
        </is>
      </c>
    </row>
    <row r="23">
      <c r="A23" s="7" t="inlineStr">
        <is>
          <t>Home &amp; Field Services</t>
        </is>
      </c>
      <c r="B23" s="7" t="inlineStr">
        <is>
          <t>Cleaning — Commercial / Janitorial</t>
        </is>
      </c>
      <c r="C23" s="8" t="n">
        <v>4</v>
      </c>
      <c r="D23" s="7" t="inlineStr"/>
      <c r="E23" s="9" t="inlineStr">
        <is>
          <t>cleaning_commercial</t>
        </is>
      </c>
    </row>
    <row r="24">
      <c r="A24" s="7" t="inlineStr">
        <is>
          <t>Home &amp; Field Services</t>
        </is>
      </c>
      <c r="B24" s="7" t="inlineStr">
        <is>
          <t>Security Systems — Installation &amp; Monitoring</t>
        </is>
      </c>
      <c r="C24" s="8" t="n">
        <v>5</v>
      </c>
      <c r="D24" s="7" t="inlineStr">
        <is>
          <t>⚠ See notice</t>
        </is>
      </c>
      <c r="E24" s="9" t="inlineStr">
        <is>
          <t>security_systems</t>
        </is>
      </c>
    </row>
    <row r="25">
      <c r="A25" s="7" t="inlineStr">
        <is>
          <t>Home &amp; Field Services</t>
        </is>
      </c>
      <c r="B25" s="7" t="inlineStr">
        <is>
          <t>Painting — Residential &amp; Commercial</t>
        </is>
      </c>
      <c r="C25" s="8" t="n">
        <v>3</v>
      </c>
      <c r="D25" s="7" t="inlineStr"/>
      <c r="E25" s="9" t="inlineStr">
        <is>
          <t>painting</t>
        </is>
      </c>
    </row>
    <row r="26">
      <c r="A26" s="7" t="inlineStr">
        <is>
          <t>Home &amp; Field Services</t>
        </is>
      </c>
      <c r="B26" s="7" t="inlineStr">
        <is>
          <t>Junk Removal / Hauling</t>
        </is>
      </c>
      <c r="C26" s="8" t="n">
        <v>3.5</v>
      </c>
      <c r="D26" s="7" t="inlineStr"/>
      <c r="E26" s="9" t="inlineStr">
        <is>
          <t>junk_removal</t>
        </is>
      </c>
    </row>
    <row r="27">
      <c r="A27" s="7" t="inlineStr">
        <is>
          <t>Home &amp; Field Services</t>
        </is>
      </c>
      <c r="B27" s="7" t="inlineStr">
        <is>
          <t>Moving Companies</t>
        </is>
      </c>
      <c r="C27" s="8" t="n">
        <v>2.5</v>
      </c>
      <c r="D27" s="7" t="inlineStr"/>
      <c r="E27" s="9" t="inlineStr">
        <is>
          <t>moving</t>
        </is>
      </c>
    </row>
    <row r="28">
      <c r="A28" s="7" t="inlineStr">
        <is>
          <t>Home &amp; Field Services</t>
        </is>
      </c>
      <c r="B28" s="7" t="inlineStr">
        <is>
          <t>Appliance Repair</t>
        </is>
      </c>
      <c r="C28" s="8" t="n">
        <v>2.5</v>
      </c>
      <c r="D28" s="7" t="inlineStr"/>
      <c r="E28" s="9" t="inlineStr">
        <is>
          <t>appliance_repair</t>
        </is>
      </c>
    </row>
    <row r="29" ht="22" customHeight="1">
      <c r="A29" s="6" t="inlineStr">
        <is>
          <t>Retail</t>
        </is>
      </c>
    </row>
    <row r="30">
      <c r="A30" s="7" t="inlineStr">
        <is>
          <t>Retail</t>
        </is>
      </c>
      <c r="B30" s="7" t="inlineStr">
        <is>
          <t>Brick-and-Mortar Retail — General</t>
        </is>
      </c>
      <c r="C30" s="8" t="n">
        <v>2.75</v>
      </c>
      <c r="D30" s="7" t="inlineStr"/>
      <c r="E30" s="9" t="inlineStr">
        <is>
          <t>retail_general</t>
        </is>
      </c>
    </row>
    <row r="31">
      <c r="A31" s="7" t="inlineStr">
        <is>
          <t>Retail</t>
        </is>
      </c>
      <c r="B31" s="7" t="inlineStr">
        <is>
          <t>Specialty / Niche Retail</t>
        </is>
      </c>
      <c r="C31" s="8" t="n">
        <v>3.5</v>
      </c>
      <c r="D31" s="7" t="inlineStr"/>
      <c r="E31" s="9" t="inlineStr">
        <is>
          <t>retail_specialty</t>
        </is>
      </c>
    </row>
    <row r="32">
      <c r="A32" s="7" t="inlineStr">
        <is>
          <t>Retail</t>
        </is>
      </c>
      <c r="B32" s="7" t="inlineStr">
        <is>
          <t>Beer, Wine &amp; Liquor Store</t>
        </is>
      </c>
      <c r="C32" s="8" t="n">
        <v>3</v>
      </c>
      <c r="D32" s="7" t="inlineStr"/>
      <c r="E32" s="9" t="inlineStr">
        <is>
          <t>liquor_store</t>
        </is>
      </c>
    </row>
    <row r="33">
      <c r="A33" s="7" t="inlineStr">
        <is>
          <t>Retail</t>
        </is>
      </c>
      <c r="B33" s="7" t="inlineStr">
        <is>
          <t>Auto Parts / Auto Accessories</t>
        </is>
      </c>
      <c r="C33" s="8" t="n">
        <v>2.5</v>
      </c>
      <c r="D33" s="7" t="inlineStr"/>
      <c r="E33" s="9" t="inlineStr">
        <is>
          <t>auto_parts</t>
        </is>
      </c>
    </row>
    <row r="34">
      <c r="A34" s="7" t="inlineStr">
        <is>
          <t>Retail</t>
        </is>
      </c>
      <c r="B34" s="7" t="inlineStr">
        <is>
          <t>Gas Station / Convenience Store</t>
        </is>
      </c>
      <c r="C34" s="8" t="n">
        <v>3</v>
      </c>
      <c r="D34" s="7" t="inlineStr"/>
      <c r="E34" s="9" t="inlineStr">
        <is>
          <t>gas_station</t>
        </is>
      </c>
    </row>
    <row r="35">
      <c r="A35" s="7" t="inlineStr">
        <is>
          <t>Retail</t>
        </is>
      </c>
      <c r="B35" s="7" t="inlineStr">
        <is>
          <t>E-Commerce — Branded / DTC</t>
        </is>
      </c>
      <c r="C35" s="8" t="n">
        <v>4.5</v>
      </c>
      <c r="D35" s="7" t="inlineStr">
        <is>
          <t>⚠ See notice</t>
        </is>
      </c>
      <c r="E35" s="9" t="inlineStr">
        <is>
          <t>ecommerce_branded</t>
        </is>
      </c>
    </row>
    <row r="36">
      <c r="A36" s="7" t="inlineStr">
        <is>
          <t>Retail</t>
        </is>
      </c>
      <c r="B36" s="7" t="inlineStr">
        <is>
          <t>E-Commerce — Amazon FBA / Marketplace</t>
        </is>
      </c>
      <c r="C36" s="8" t="n">
        <v>3</v>
      </c>
      <c r="D36" s="7" t="inlineStr">
        <is>
          <t>⚠ See notice</t>
        </is>
      </c>
      <c r="E36" s="9" t="inlineStr">
        <is>
          <t>ecommerce_amazon</t>
        </is>
      </c>
    </row>
    <row r="37" ht="22" customHeight="1">
      <c r="A37" s="6" t="inlineStr">
        <is>
          <t>Food &amp; Beverage</t>
        </is>
      </c>
    </row>
    <row r="38">
      <c r="A38" s="7" t="inlineStr">
        <is>
          <t>Food &amp; Beverage</t>
        </is>
      </c>
      <c r="B38" s="7" t="inlineStr">
        <is>
          <t>Restaurant — Full Service</t>
        </is>
      </c>
      <c r="C38" s="8" t="n">
        <v>2</v>
      </c>
      <c r="D38" s="7" t="inlineStr"/>
      <c r="E38" s="9" t="inlineStr">
        <is>
          <t>restaurant_full</t>
        </is>
      </c>
    </row>
    <row r="39">
      <c r="A39" s="7" t="inlineStr">
        <is>
          <t>Food &amp; Beverage</t>
        </is>
      </c>
      <c r="B39" s="7" t="inlineStr">
        <is>
          <t>Restaurant — Fast Casual / QSR</t>
        </is>
      </c>
      <c r="C39" s="8" t="n">
        <v>2.5</v>
      </c>
      <c r="D39" s="7" t="inlineStr"/>
      <c r="E39" s="9" t="inlineStr">
        <is>
          <t>restaurant_fast</t>
        </is>
      </c>
    </row>
    <row r="40">
      <c r="A40" s="7" t="inlineStr">
        <is>
          <t>Food &amp; Beverage</t>
        </is>
      </c>
      <c r="B40" s="7" t="inlineStr">
        <is>
          <t>Catering &amp; Event Food Service</t>
        </is>
      </c>
      <c r="C40" s="8" t="n">
        <v>2</v>
      </c>
      <c r="D40" s="7" t="inlineStr"/>
      <c r="E40" s="9" t="inlineStr">
        <is>
          <t>catering</t>
        </is>
      </c>
    </row>
    <row r="41">
      <c r="A41" s="7" t="inlineStr">
        <is>
          <t>Food &amp; Beverage</t>
        </is>
      </c>
      <c r="B41" s="7" t="inlineStr">
        <is>
          <t>Specialty Food Production / Manufacturing</t>
        </is>
      </c>
      <c r="C41" s="8" t="n">
        <v>3.5</v>
      </c>
      <c r="D41" s="7" t="inlineStr"/>
      <c r="E41" s="9" t="inlineStr">
        <is>
          <t>food_mfg</t>
        </is>
      </c>
    </row>
    <row r="42">
      <c r="A42" s="7" t="inlineStr">
        <is>
          <t>Food &amp; Beverage</t>
        </is>
      </c>
      <c r="B42" s="7" t="inlineStr">
        <is>
          <t>Bakery / Food Retail</t>
        </is>
      </c>
      <c r="C42" s="8" t="n">
        <v>2</v>
      </c>
      <c r="D42" s="7" t="inlineStr"/>
      <c r="E42" s="9" t="inlineStr">
        <is>
          <t>bakery</t>
        </is>
      </c>
    </row>
    <row r="43" ht="22" customHeight="1">
      <c r="A43" s="6" t="inlineStr">
        <is>
          <t>Automotive</t>
        </is>
      </c>
    </row>
    <row r="44">
      <c r="A44" s="7" t="inlineStr">
        <is>
          <t>Automotive</t>
        </is>
      </c>
      <c r="B44" s="7" t="inlineStr">
        <is>
          <t>Auto Repair / Mechanic Shop</t>
        </is>
      </c>
      <c r="C44" s="8" t="n">
        <v>3</v>
      </c>
      <c r="D44" s="7" t="inlineStr"/>
      <c r="E44" s="9" t="inlineStr">
        <is>
          <t>auto_repair</t>
        </is>
      </c>
    </row>
    <row r="45">
      <c r="A45" s="7" t="inlineStr">
        <is>
          <t>Automotive</t>
        </is>
      </c>
      <c r="B45" s="7" t="inlineStr">
        <is>
          <t>Auto Body / Collision Repair</t>
        </is>
      </c>
      <c r="C45" s="8" t="n">
        <v>3.5</v>
      </c>
      <c r="D45" s="7" t="inlineStr"/>
      <c r="E45" s="9" t="inlineStr">
        <is>
          <t>auto_body</t>
        </is>
      </c>
    </row>
    <row r="46">
      <c r="A46" s="7" t="inlineStr">
        <is>
          <t>Automotive</t>
        </is>
      </c>
      <c r="B46" s="7" t="inlineStr">
        <is>
          <t>Car Wash — Full Service / Detail</t>
        </is>
      </c>
      <c r="C46" s="8" t="n">
        <v>4</v>
      </c>
      <c r="D46" s="7" t="inlineStr"/>
      <c r="E46" s="9" t="inlineStr">
        <is>
          <t>car_wash</t>
        </is>
      </c>
    </row>
    <row r="47">
      <c r="A47" s="7" t="inlineStr">
        <is>
          <t>Automotive</t>
        </is>
      </c>
      <c r="B47" s="7" t="inlineStr">
        <is>
          <t>Auto Dealership — New</t>
        </is>
      </c>
      <c r="C47" s="8" t="n">
        <v>0.5</v>
      </c>
      <c r="D47" s="7" t="inlineStr">
        <is>
          <t>⚠ See notice</t>
        </is>
      </c>
      <c r="E47" s="9" t="inlineStr">
        <is>
          <t>auto_dealer_new</t>
        </is>
      </c>
    </row>
    <row r="48">
      <c r="A48" s="7" t="inlineStr">
        <is>
          <t>Automotive</t>
        </is>
      </c>
      <c r="B48" s="7" t="inlineStr">
        <is>
          <t>Auto Dealership — Used</t>
        </is>
      </c>
      <c r="C48" s="8" t="n">
        <v>2</v>
      </c>
      <c r="D48" s="7" t="inlineStr"/>
      <c r="E48" s="9" t="inlineStr">
        <is>
          <t>auto_dealer_used</t>
        </is>
      </c>
    </row>
    <row r="49">
      <c r="A49" s="7" t="inlineStr">
        <is>
          <t>Automotive</t>
        </is>
      </c>
      <c r="B49" s="7" t="inlineStr">
        <is>
          <t>Auto Rental / Fleet Services</t>
        </is>
      </c>
      <c r="C49" s="8" t="n">
        <v>3</v>
      </c>
      <c r="D49" s="7" t="inlineStr"/>
      <c r="E49" s="9" t="inlineStr">
        <is>
          <t>auto_rental</t>
        </is>
      </c>
    </row>
    <row r="50" ht="22" customHeight="1">
      <c r="A50" s="6" t="inlineStr">
        <is>
          <t>Healthcare &amp; Wellness</t>
        </is>
      </c>
    </row>
    <row r="51">
      <c r="A51" s="7" t="inlineStr">
        <is>
          <t>Healthcare &amp; Wellness</t>
        </is>
      </c>
      <c r="B51" s="7" t="inlineStr">
        <is>
          <t>Medical Practice — Primary Care</t>
        </is>
      </c>
      <c r="C51" s="8" t="n">
        <v>3.5</v>
      </c>
      <c r="D51" s="7" t="inlineStr"/>
      <c r="E51" s="9" t="inlineStr">
        <is>
          <t>medical_primary</t>
        </is>
      </c>
    </row>
    <row r="52">
      <c r="A52" s="7" t="inlineStr">
        <is>
          <t>Healthcare &amp; Wellness</t>
        </is>
      </c>
      <c r="B52" s="7" t="inlineStr">
        <is>
          <t>Dental Practice — General</t>
        </is>
      </c>
      <c r="C52" s="8" t="n">
        <v>4.5</v>
      </c>
      <c r="D52" s="7" t="inlineStr"/>
      <c r="E52" s="9" t="inlineStr">
        <is>
          <t>dental_general</t>
        </is>
      </c>
    </row>
    <row r="53">
      <c r="A53" s="7" t="inlineStr">
        <is>
          <t>Healthcare &amp; Wellness</t>
        </is>
      </c>
      <c r="B53" s="7" t="inlineStr">
        <is>
          <t>Dental Practice — Specialty (Ortho, Oral Surgery)</t>
        </is>
      </c>
      <c r="C53" s="8" t="n">
        <v>5.5</v>
      </c>
      <c r="D53" s="7" t="inlineStr">
        <is>
          <t>⚠ See notice</t>
        </is>
      </c>
      <c r="E53" s="9" t="inlineStr">
        <is>
          <t>dental_specialty</t>
        </is>
      </c>
    </row>
    <row r="54">
      <c r="A54" s="7" t="inlineStr">
        <is>
          <t>Healthcare &amp; Wellness</t>
        </is>
      </c>
      <c r="B54" s="7" t="inlineStr">
        <is>
          <t>Optometry / Optical</t>
        </is>
      </c>
      <c r="C54" s="8" t="n">
        <v>4.5</v>
      </c>
      <c r="D54" s="7" t="inlineStr"/>
      <c r="E54" s="9" t="inlineStr">
        <is>
          <t>optometry</t>
        </is>
      </c>
    </row>
    <row r="55">
      <c r="A55" s="7" t="inlineStr">
        <is>
          <t>Healthcare &amp; Wellness</t>
        </is>
      </c>
      <c r="B55" s="7" t="inlineStr">
        <is>
          <t>Veterinary Practice</t>
        </is>
      </c>
      <c r="C55" s="8" t="n">
        <v>5</v>
      </c>
      <c r="D55" s="7" t="inlineStr"/>
      <c r="E55" s="9" t="inlineStr">
        <is>
          <t>veterinary</t>
        </is>
      </c>
    </row>
    <row r="56">
      <c r="A56" s="7" t="inlineStr">
        <is>
          <t>Healthcare &amp; Wellness</t>
        </is>
      </c>
      <c r="B56" s="7" t="inlineStr">
        <is>
          <t>Physical Therapy / Rehab</t>
        </is>
      </c>
      <c r="C56" s="8" t="n">
        <v>4</v>
      </c>
      <c r="D56" s="7" t="inlineStr"/>
      <c r="E56" s="9" t="inlineStr">
        <is>
          <t>physical_therapy</t>
        </is>
      </c>
    </row>
    <row r="57">
      <c r="A57" s="7" t="inlineStr">
        <is>
          <t>Healthcare &amp; Wellness</t>
        </is>
      </c>
      <c r="B57" s="7" t="inlineStr">
        <is>
          <t>Mental Health / Behavioral Health</t>
        </is>
      </c>
      <c r="C57" s="8" t="n">
        <v>4.5</v>
      </c>
      <c r="D57" s="7" t="inlineStr"/>
      <c r="E57" s="9" t="inlineStr">
        <is>
          <t>mental_health</t>
        </is>
      </c>
    </row>
    <row r="58">
      <c r="A58" s="7" t="inlineStr">
        <is>
          <t>Healthcare &amp; Wellness</t>
        </is>
      </c>
      <c r="B58" s="7" t="inlineStr">
        <is>
          <t>Behavioral Health — ABA / Autism Services</t>
        </is>
      </c>
      <c r="C58" s="8" t="n">
        <v>5.5</v>
      </c>
      <c r="D58" s="7" t="inlineStr">
        <is>
          <t>⚠ See notice</t>
        </is>
      </c>
      <c r="E58" s="9" t="inlineStr">
        <is>
          <t>aba_autism</t>
        </is>
      </c>
    </row>
    <row r="59">
      <c r="A59" s="7" t="inlineStr">
        <is>
          <t>Healthcare &amp; Wellness</t>
        </is>
      </c>
      <c r="B59" s="7" t="inlineStr">
        <is>
          <t>Med Spa / Aesthetics</t>
        </is>
      </c>
      <c r="C59" s="8" t="n">
        <v>4</v>
      </c>
      <c r="D59" s="7" t="inlineStr"/>
      <c r="E59" s="9" t="inlineStr">
        <is>
          <t>med_spa</t>
        </is>
      </c>
    </row>
    <row r="60">
      <c r="A60" s="7" t="inlineStr">
        <is>
          <t>Healthcare &amp; Wellness</t>
        </is>
      </c>
      <c r="B60" s="7" t="inlineStr">
        <is>
          <t>Home Health / Home Care Agency</t>
        </is>
      </c>
      <c r="C60" s="8" t="n">
        <v>4</v>
      </c>
      <c r="D60" s="7" t="inlineStr"/>
      <c r="E60" s="9" t="inlineStr">
        <is>
          <t>home_health</t>
        </is>
      </c>
    </row>
    <row r="61">
      <c r="A61" s="7" t="inlineStr">
        <is>
          <t>Healthcare &amp; Wellness</t>
        </is>
      </c>
      <c r="B61" s="7" t="inlineStr">
        <is>
          <t>Hospice / Palliative Care</t>
        </is>
      </c>
      <c r="C61" s="8" t="n">
        <v>5.5</v>
      </c>
      <c r="D61" s="7" t="inlineStr">
        <is>
          <t>⚠ See notice</t>
        </is>
      </c>
      <c r="E61" s="9" t="inlineStr">
        <is>
          <t>hospice</t>
        </is>
      </c>
    </row>
    <row r="62">
      <c r="A62" s="7" t="inlineStr">
        <is>
          <t>Healthcare &amp; Wellness</t>
        </is>
      </c>
      <c r="B62" s="7" t="inlineStr">
        <is>
          <t>Fitness / Gym / Studio</t>
        </is>
      </c>
      <c r="C62" s="8" t="n">
        <v>3</v>
      </c>
      <c r="D62" s="7" t="inlineStr"/>
      <c r="E62" s="9" t="inlineStr">
        <is>
          <t>fitness</t>
        </is>
      </c>
    </row>
    <row r="63">
      <c r="A63" s="7" t="inlineStr">
        <is>
          <t>Healthcare &amp; Wellness</t>
        </is>
      </c>
      <c r="B63" s="7" t="inlineStr">
        <is>
          <t>Pharmacy — Independent</t>
        </is>
      </c>
      <c r="C63" s="8" t="n">
        <v>3.5</v>
      </c>
      <c r="D63" s="7" t="inlineStr"/>
      <c r="E63" s="9" t="inlineStr">
        <is>
          <t>pharmacy</t>
        </is>
      </c>
    </row>
    <row r="64" ht="22" customHeight="1">
      <c r="A64" s="6" t="inlineStr">
        <is>
          <t>Professional Services</t>
        </is>
      </c>
    </row>
    <row r="65">
      <c r="A65" s="7" t="inlineStr">
        <is>
          <t>Professional Services</t>
        </is>
      </c>
      <c r="B65" s="7" t="inlineStr">
        <is>
          <t>CPA / Accounting Firm</t>
        </is>
      </c>
      <c r="C65" s="8" t="n">
        <v>3.5</v>
      </c>
      <c r="D65" s="7" t="inlineStr">
        <is>
          <t>⚠ See notice</t>
        </is>
      </c>
      <c r="E65" s="9" t="inlineStr">
        <is>
          <t>cpa_accounting</t>
        </is>
      </c>
    </row>
    <row r="66">
      <c r="A66" s="7" t="inlineStr">
        <is>
          <t>Professional Services</t>
        </is>
      </c>
      <c r="B66" s="7" t="inlineStr">
        <is>
          <t>Law Firm — General Practice</t>
        </is>
      </c>
      <c r="C66" s="8" t="n">
        <v>3</v>
      </c>
      <c r="D66" s="7" t="inlineStr"/>
      <c r="E66" s="9" t="inlineStr">
        <is>
          <t>law_general</t>
        </is>
      </c>
    </row>
    <row r="67">
      <c r="A67" s="7" t="inlineStr">
        <is>
          <t>Professional Services</t>
        </is>
      </c>
      <c r="B67" s="7" t="inlineStr">
        <is>
          <t>Law Firm — Personal Injury (Contingency)</t>
        </is>
      </c>
      <c r="C67" s="8" t="n">
        <v>2.5</v>
      </c>
      <c r="D67" s="7" t="inlineStr">
        <is>
          <t>⚠ See notice</t>
        </is>
      </c>
      <c r="E67" s="9" t="inlineStr">
        <is>
          <t>law_pi</t>
        </is>
      </c>
    </row>
    <row r="68">
      <c r="A68" s="7" t="inlineStr">
        <is>
          <t>Professional Services</t>
        </is>
      </c>
      <c r="B68" s="7" t="inlineStr">
        <is>
          <t>Engineering / Architecture Firm</t>
        </is>
      </c>
      <c r="C68" s="8" t="n">
        <v>4.5</v>
      </c>
      <c r="D68" s="7" t="inlineStr"/>
      <c r="E68" s="9" t="inlineStr">
        <is>
          <t>engineering</t>
        </is>
      </c>
    </row>
    <row r="69">
      <c r="A69" s="7" t="inlineStr">
        <is>
          <t>Professional Services</t>
        </is>
      </c>
      <c r="B69" s="7" t="inlineStr">
        <is>
          <t>Marketing / Advertising Agency</t>
        </is>
      </c>
      <c r="C69" s="8" t="n">
        <v>3.5</v>
      </c>
      <c r="D69" s="7" t="inlineStr"/>
      <c r="E69" s="9" t="inlineStr">
        <is>
          <t>marketing_agency</t>
        </is>
      </c>
    </row>
    <row r="70">
      <c r="A70" s="7" t="inlineStr">
        <is>
          <t>Professional Services</t>
        </is>
      </c>
      <c r="B70" s="7" t="inlineStr">
        <is>
          <t>PR / Communications Firm</t>
        </is>
      </c>
      <c r="C70" s="8" t="n">
        <v>3.5</v>
      </c>
      <c r="D70" s="7" t="inlineStr"/>
      <c r="E70" s="9" t="inlineStr">
        <is>
          <t>pr_firm</t>
        </is>
      </c>
    </row>
    <row r="71">
      <c r="A71" s="7" t="inlineStr">
        <is>
          <t>Professional Services</t>
        </is>
      </c>
      <c r="B71" s="7" t="inlineStr">
        <is>
          <t>Management Consulting</t>
        </is>
      </c>
      <c r="C71" s="8" t="n">
        <v>3.5</v>
      </c>
      <c r="D71" s="7" t="inlineStr"/>
      <c r="E71" s="9" t="inlineStr">
        <is>
          <t>mgmt_consulting</t>
        </is>
      </c>
    </row>
    <row r="72">
      <c r="A72" s="7" t="inlineStr">
        <is>
          <t>Professional Services</t>
        </is>
      </c>
      <c r="B72" s="7" t="inlineStr">
        <is>
          <t>HR / Staffing / Recruiting</t>
        </is>
      </c>
      <c r="C72" s="8" t="n">
        <v>4</v>
      </c>
      <c r="D72" s="7" t="inlineStr"/>
      <c r="E72" s="9" t="inlineStr">
        <is>
          <t>staffing</t>
        </is>
      </c>
    </row>
    <row r="73">
      <c r="A73" s="7" t="inlineStr">
        <is>
          <t>Professional Services</t>
        </is>
      </c>
      <c r="B73" s="7" t="inlineStr">
        <is>
          <t>Insurance Agency — P&amp;C / Commercial</t>
        </is>
      </c>
      <c r="C73" s="8" t="n">
        <v>4.5</v>
      </c>
      <c r="D73" s="7" t="inlineStr">
        <is>
          <t>⚠ See notice</t>
        </is>
      </c>
      <c r="E73" s="9" t="inlineStr">
        <is>
          <t>insurance_pc</t>
        </is>
      </c>
    </row>
    <row r="74">
      <c r="A74" s="7" t="inlineStr">
        <is>
          <t>Professional Services</t>
        </is>
      </c>
      <c r="B74" s="7" t="inlineStr">
        <is>
          <t>Insurance Agency — Life / Benefits</t>
        </is>
      </c>
      <c r="C74" s="8" t="n">
        <v>4</v>
      </c>
      <c r="D74" s="7" t="inlineStr">
        <is>
          <t>⚠ See notice</t>
        </is>
      </c>
      <c r="E74" s="9" t="inlineStr">
        <is>
          <t>insurance_life</t>
        </is>
      </c>
    </row>
    <row r="75">
      <c r="A75" s="7" t="inlineStr">
        <is>
          <t>Professional Services</t>
        </is>
      </c>
      <c r="B75" s="7" t="inlineStr">
        <is>
          <t>Financial Planning / Wealth Management (RIA)</t>
        </is>
      </c>
      <c r="C75" s="8" t="n">
        <v>5.5</v>
      </c>
      <c r="D75" s="7" t="inlineStr">
        <is>
          <t>⚠ See notice</t>
        </is>
      </c>
      <c r="E75" s="9" t="inlineStr">
        <is>
          <t>wealth_mgmt</t>
        </is>
      </c>
    </row>
    <row r="76">
      <c r="A76" s="7" t="inlineStr">
        <is>
          <t>Professional Services</t>
        </is>
      </c>
      <c r="B76" s="7" t="inlineStr">
        <is>
          <t>Mortgage Brokerage</t>
        </is>
      </c>
      <c r="C76" s="8" t="n">
        <v>2.5</v>
      </c>
      <c r="D76" s="7" t="inlineStr">
        <is>
          <t>⚠ See notice</t>
        </is>
      </c>
      <c r="E76" s="9" t="inlineStr">
        <is>
          <t>mortgage</t>
        </is>
      </c>
    </row>
    <row r="77">
      <c r="A77" s="7" t="inlineStr">
        <is>
          <t>Professional Services</t>
        </is>
      </c>
      <c r="B77" s="7" t="inlineStr">
        <is>
          <t>Title &amp; Escrow Company</t>
        </is>
      </c>
      <c r="C77" s="8" t="n">
        <v>2.75</v>
      </c>
      <c r="D77" s="7" t="inlineStr"/>
      <c r="E77" s="9" t="inlineStr">
        <is>
          <t>title_escrow</t>
        </is>
      </c>
    </row>
    <row r="78">
      <c r="A78" s="7" t="inlineStr">
        <is>
          <t>Professional Services</t>
        </is>
      </c>
      <c r="B78" s="7" t="inlineStr">
        <is>
          <t>Appraisal / Inspection Services</t>
        </is>
      </c>
      <c r="C78" s="8" t="n">
        <v>2.75</v>
      </c>
      <c r="D78" s="7" t="inlineStr"/>
      <c r="E78" s="9" t="inlineStr">
        <is>
          <t>appraisal</t>
        </is>
      </c>
    </row>
    <row r="79" ht="22" customHeight="1">
      <c r="A79" s="6" t="inlineStr">
        <is>
          <t>Technology</t>
        </is>
      </c>
    </row>
    <row r="80">
      <c r="A80" s="7" t="inlineStr">
        <is>
          <t>Technology</t>
        </is>
      </c>
      <c r="B80" s="7" t="inlineStr">
        <is>
          <t>SaaS / Software — ARR-Based</t>
        </is>
      </c>
      <c r="C80" s="8" t="n">
        <v>8</v>
      </c>
      <c r="D80" s="7" t="inlineStr">
        <is>
          <t>⚠ See notice</t>
        </is>
      </c>
      <c r="E80" s="9" t="inlineStr">
        <is>
          <t>saas</t>
        </is>
      </c>
    </row>
    <row r="81">
      <c r="A81" s="7" t="inlineStr">
        <is>
          <t>Technology</t>
        </is>
      </c>
      <c r="B81" s="7" t="inlineStr">
        <is>
          <t>IT Services / Managed Services (MSP)</t>
        </is>
      </c>
      <c r="C81" s="8" t="n">
        <v>5</v>
      </c>
      <c r="D81" s="7" t="inlineStr"/>
      <c r="E81" s="9" t="inlineStr">
        <is>
          <t>it_services</t>
        </is>
      </c>
    </row>
    <row r="82">
      <c r="A82" s="7" t="inlineStr">
        <is>
          <t>Technology</t>
        </is>
      </c>
      <c r="B82" s="7" t="inlineStr">
        <is>
          <t>Custom Software Development</t>
        </is>
      </c>
      <c r="C82" s="8" t="n">
        <v>3.5</v>
      </c>
      <c r="D82" s="7" t="inlineStr"/>
      <c r="E82" s="9" t="inlineStr">
        <is>
          <t>custom_software</t>
        </is>
      </c>
    </row>
    <row r="83">
      <c r="A83" s="7" t="inlineStr">
        <is>
          <t>Technology</t>
        </is>
      </c>
      <c r="B83" s="7" t="inlineStr">
        <is>
          <t>Technology Staffing / Consulting</t>
        </is>
      </c>
      <c r="C83" s="8" t="n">
        <v>4</v>
      </c>
      <c r="D83" s="7" t="inlineStr"/>
      <c r="E83" s="9" t="inlineStr">
        <is>
          <t>tech_staffing</t>
        </is>
      </c>
    </row>
    <row r="84">
      <c r="A84" s="7" t="inlineStr">
        <is>
          <t>Technology</t>
        </is>
      </c>
      <c r="B84" s="7" t="inlineStr">
        <is>
          <t>Digital Marketing / SEO Agency</t>
        </is>
      </c>
      <c r="C84" s="8" t="n">
        <v>3.5</v>
      </c>
      <c r="D84" s="7" t="inlineStr"/>
      <c r="E84" s="9" t="inlineStr">
        <is>
          <t>digital_marketing</t>
        </is>
      </c>
    </row>
    <row r="85">
      <c r="A85" s="7" t="inlineStr">
        <is>
          <t>Technology</t>
        </is>
      </c>
      <c r="B85" s="7" t="inlineStr">
        <is>
          <t>Cybersecurity Services</t>
        </is>
      </c>
      <c r="C85" s="8" t="n">
        <v>5</v>
      </c>
      <c r="D85" s="7" t="inlineStr"/>
      <c r="E85" s="9" t="inlineStr">
        <is>
          <t>cybersecurity</t>
        </is>
      </c>
    </row>
    <row r="86">
      <c r="A86" s="7" t="inlineStr">
        <is>
          <t>Technology</t>
        </is>
      </c>
      <c r="B86" s="7" t="inlineStr">
        <is>
          <t>Data Analytics / BI Consulting</t>
        </is>
      </c>
      <c r="C86" s="8" t="n">
        <v>4</v>
      </c>
      <c r="D86" s="7" t="inlineStr"/>
      <c r="E86" s="9" t="inlineStr">
        <is>
          <t>data_analytics</t>
        </is>
      </c>
    </row>
    <row r="87" ht="22" customHeight="1">
      <c r="A87" s="6" t="inlineStr">
        <is>
          <t>Construction &amp; Real Estate</t>
        </is>
      </c>
    </row>
    <row r="88">
      <c r="A88" s="7" t="inlineStr">
        <is>
          <t>Construction &amp; Real Estate</t>
        </is>
      </c>
      <c r="B88" s="7" t="inlineStr">
        <is>
          <t>General Contracting — Commercial</t>
        </is>
      </c>
      <c r="C88" s="8" t="n">
        <v>3.5</v>
      </c>
      <c r="D88" s="7" t="inlineStr"/>
      <c r="E88" s="9" t="inlineStr">
        <is>
          <t>gc_commercial</t>
        </is>
      </c>
    </row>
    <row r="89">
      <c r="A89" s="7" t="inlineStr">
        <is>
          <t>Construction &amp; Real Estate</t>
        </is>
      </c>
      <c r="B89" s="7" t="inlineStr">
        <is>
          <t>General Contracting — Residential</t>
        </is>
      </c>
      <c r="C89" s="8" t="n">
        <v>3</v>
      </c>
      <c r="D89" s="7" t="inlineStr"/>
      <c r="E89" s="9" t="inlineStr">
        <is>
          <t>gc_residential</t>
        </is>
      </c>
    </row>
    <row r="90">
      <c r="A90" s="7" t="inlineStr">
        <is>
          <t>Construction &amp; Real Estate</t>
        </is>
      </c>
      <c r="B90" s="7" t="inlineStr">
        <is>
          <t>Specialty Contractor — MEP</t>
        </is>
      </c>
      <c r="C90" s="8" t="n">
        <v>4.5</v>
      </c>
      <c r="D90" s="7" t="inlineStr"/>
      <c r="E90" s="9" t="inlineStr">
        <is>
          <t>contractor_mep</t>
        </is>
      </c>
    </row>
    <row r="91">
      <c r="A91" s="7" t="inlineStr">
        <is>
          <t>Construction &amp; Real Estate</t>
        </is>
      </c>
      <c r="B91" s="7" t="inlineStr">
        <is>
          <t>Specialty Contractor — Other</t>
        </is>
      </c>
      <c r="C91" s="8" t="n">
        <v>3.5</v>
      </c>
      <c r="D91" s="7" t="inlineStr"/>
      <c r="E91" s="9" t="inlineStr">
        <is>
          <t>contractor_other</t>
        </is>
      </c>
    </row>
    <row r="92">
      <c r="A92" s="7" t="inlineStr">
        <is>
          <t>Construction &amp; Real Estate</t>
        </is>
      </c>
      <c r="B92" s="7" t="inlineStr">
        <is>
          <t>Real Estate Brokerage</t>
        </is>
      </c>
      <c r="C92" s="8" t="n">
        <v>2.5</v>
      </c>
      <c r="D92" s="7" t="inlineStr">
        <is>
          <t>⚠ See notice</t>
        </is>
      </c>
      <c r="E92" s="9" t="inlineStr">
        <is>
          <t>real_estate_brokerage</t>
        </is>
      </c>
    </row>
    <row r="93">
      <c r="A93" s="7" t="inlineStr">
        <is>
          <t>Construction &amp; Real Estate</t>
        </is>
      </c>
      <c r="B93" s="7" t="inlineStr">
        <is>
          <t>Property Management</t>
        </is>
      </c>
      <c r="C93" s="8" t="n">
        <v>3.25</v>
      </c>
      <c r="D93" s="7" t="inlineStr"/>
      <c r="E93" s="9" t="inlineStr">
        <is>
          <t>property_mgmt</t>
        </is>
      </c>
    </row>
    <row r="94">
      <c r="A94" s="7" t="inlineStr">
        <is>
          <t>Construction &amp; Real Estate</t>
        </is>
      </c>
      <c r="B94" s="7" t="inlineStr">
        <is>
          <t>Real Estate Appraisal</t>
        </is>
      </c>
      <c r="C94" s="8" t="n">
        <v>2.75</v>
      </c>
      <c r="D94" s="7" t="inlineStr"/>
      <c r="E94" s="9" t="inlineStr">
        <is>
          <t>real_estate_appraisal</t>
        </is>
      </c>
    </row>
    <row r="95" ht="22" customHeight="1">
      <c r="A95" s="6" t="inlineStr">
        <is>
          <t>Logistics &amp; Transportation</t>
        </is>
      </c>
    </row>
    <row r="96">
      <c r="A96" s="7" t="inlineStr">
        <is>
          <t>Logistics &amp; Transportation</t>
        </is>
      </c>
      <c r="B96" s="7" t="inlineStr">
        <is>
          <t>Trucking — Asset-Based (OTR)</t>
        </is>
      </c>
      <c r="C96" s="8" t="n">
        <v>3</v>
      </c>
      <c r="D96" s="7" t="inlineStr"/>
      <c r="E96" s="9" t="inlineStr">
        <is>
          <t>trucking_asset</t>
        </is>
      </c>
    </row>
    <row r="97">
      <c r="A97" s="7" t="inlineStr">
        <is>
          <t>Logistics &amp; Transportation</t>
        </is>
      </c>
      <c r="B97" s="7" t="inlineStr">
        <is>
          <t>Trucking — Freight Brokerage (Non-Asset)</t>
        </is>
      </c>
      <c r="C97" s="8" t="n">
        <v>3.75</v>
      </c>
      <c r="D97" s="7" t="inlineStr"/>
      <c r="E97" s="9" t="inlineStr">
        <is>
          <t>freight_brokerage</t>
        </is>
      </c>
    </row>
    <row r="98">
      <c r="A98" s="7" t="inlineStr">
        <is>
          <t>Logistics &amp; Transportation</t>
        </is>
      </c>
      <c r="B98" s="7" t="inlineStr">
        <is>
          <t>Last Mile Delivery / Courier</t>
        </is>
      </c>
      <c r="C98" s="8" t="n">
        <v>3</v>
      </c>
      <c r="D98" s="7" t="inlineStr"/>
      <c r="E98" s="9" t="inlineStr">
        <is>
          <t>last_mile</t>
        </is>
      </c>
    </row>
    <row r="99">
      <c r="A99" s="7" t="inlineStr">
        <is>
          <t>Logistics &amp; Transportation</t>
        </is>
      </c>
      <c r="B99" s="7" t="inlineStr">
        <is>
          <t>Warehousing &amp; 3PL</t>
        </is>
      </c>
      <c r="C99" s="8" t="n">
        <v>4</v>
      </c>
      <c r="D99" s="7" t="inlineStr"/>
      <c r="E99" s="9" t="inlineStr">
        <is>
          <t>warehousing</t>
        </is>
      </c>
    </row>
    <row r="100">
      <c r="A100" s="7" t="inlineStr">
        <is>
          <t>Logistics &amp; Transportation</t>
        </is>
      </c>
      <c r="B100" s="7" t="inlineStr">
        <is>
          <t>Auto Transport / Vehicle Hauling</t>
        </is>
      </c>
      <c r="C100" s="8" t="n">
        <v>3</v>
      </c>
      <c r="D100" s="7" t="inlineStr"/>
      <c r="E100" s="9" t="inlineStr">
        <is>
          <t>auto_transport</t>
        </is>
      </c>
    </row>
    <row r="101" ht="22" customHeight="1">
      <c r="A101" s="6" t="inlineStr">
        <is>
          <t>Education &amp; Childcare</t>
        </is>
      </c>
    </row>
    <row r="102">
      <c r="A102" s="7" t="inlineStr">
        <is>
          <t>Education &amp; Childcare</t>
        </is>
      </c>
      <c r="B102" s="7" t="inlineStr">
        <is>
          <t>Childcare Center / Daycare</t>
        </is>
      </c>
      <c r="C102" s="8" t="n">
        <v>4.5</v>
      </c>
      <c r="D102" s="7" t="inlineStr"/>
      <c r="E102" s="9" t="inlineStr">
        <is>
          <t>childcare</t>
        </is>
      </c>
    </row>
    <row r="103">
      <c r="A103" s="7" t="inlineStr">
        <is>
          <t>Education &amp; Childcare</t>
        </is>
      </c>
      <c r="B103" s="7" t="inlineStr">
        <is>
          <t>Private School / K-12</t>
        </is>
      </c>
      <c r="C103" s="8" t="n">
        <v>3.5</v>
      </c>
      <c r="D103" s="7" t="inlineStr"/>
      <c r="E103" s="9" t="inlineStr">
        <is>
          <t>private_school</t>
        </is>
      </c>
    </row>
    <row r="104">
      <c r="A104" s="7" t="inlineStr">
        <is>
          <t>Education &amp; Childcare</t>
        </is>
      </c>
      <c r="B104" s="7" t="inlineStr">
        <is>
          <t>Tutoring / Test Prep</t>
        </is>
      </c>
      <c r="C104" s="8" t="n">
        <v>3</v>
      </c>
      <c r="D104" s="7" t="inlineStr"/>
      <c r="E104" s="9" t="inlineStr">
        <is>
          <t>tutoring</t>
        </is>
      </c>
    </row>
    <row r="105">
      <c r="A105" s="7" t="inlineStr">
        <is>
          <t>Education &amp; Childcare</t>
        </is>
      </c>
      <c r="B105" s="7" t="inlineStr">
        <is>
          <t>Vocational / Trade School</t>
        </is>
      </c>
      <c r="C105" s="8" t="n">
        <v>3.75</v>
      </c>
      <c r="D105" s="7" t="inlineStr"/>
      <c r="E105" s="9" t="inlineStr">
        <is>
          <t>vocational_school</t>
        </is>
      </c>
    </row>
    <row r="106">
      <c r="A106" s="7" t="inlineStr">
        <is>
          <t>Education &amp; Childcare</t>
        </is>
      </c>
      <c r="B106" s="7" t="inlineStr">
        <is>
          <t>Corporate Training / E-Learning</t>
        </is>
      </c>
      <c r="C106" s="8" t="n">
        <v>4.25</v>
      </c>
      <c r="D106" s="7" t="inlineStr"/>
      <c r="E106" s="9" t="inlineStr">
        <is>
          <t>elearning</t>
        </is>
      </c>
    </row>
    <row r="107" ht="22" customHeight="1">
      <c r="A107" s="6" t="inlineStr">
        <is>
          <t>Senior Care</t>
        </is>
      </c>
    </row>
    <row r="108">
      <c r="A108" s="7" t="inlineStr">
        <is>
          <t>Senior Care</t>
        </is>
      </c>
      <c r="B108" s="7" t="inlineStr">
        <is>
          <t>Assisted Living — Small Residential (RCFE)</t>
        </is>
      </c>
      <c r="C108" s="8" t="n">
        <v>4</v>
      </c>
      <c r="D108" s="7" t="inlineStr"/>
      <c r="E108" s="9" t="inlineStr">
        <is>
          <t>assisted_living_small</t>
        </is>
      </c>
    </row>
    <row r="109">
      <c r="A109" s="7" t="inlineStr">
        <is>
          <t>Senior Care</t>
        </is>
      </c>
      <c r="B109" s="7" t="inlineStr">
        <is>
          <t>Assisted Living — Larger Community</t>
        </is>
      </c>
      <c r="C109" s="8" t="n">
        <v>5.25</v>
      </c>
      <c r="D109" s="7" t="inlineStr">
        <is>
          <t>⚠ See notice</t>
        </is>
      </c>
      <c r="E109" s="9" t="inlineStr">
        <is>
          <t>assisted_living_large</t>
        </is>
      </c>
    </row>
    <row r="110">
      <c r="A110" s="7" t="inlineStr">
        <is>
          <t>Senior Care</t>
        </is>
      </c>
      <c r="B110" s="7" t="inlineStr">
        <is>
          <t>Home Care Agency — Private Pay</t>
        </is>
      </c>
      <c r="C110" s="8" t="n">
        <v>4</v>
      </c>
      <c r="D110" s="7" t="inlineStr"/>
      <c r="E110" s="9" t="inlineStr">
        <is>
          <t>home_care_private</t>
        </is>
      </c>
    </row>
    <row r="111">
      <c r="A111" s="7" t="inlineStr">
        <is>
          <t>Senior Care</t>
        </is>
      </c>
      <c r="B111" s="7" t="inlineStr">
        <is>
          <t>Adult Day Services</t>
        </is>
      </c>
      <c r="C111" s="8" t="n">
        <v>3.5</v>
      </c>
      <c r="D111" s="7" t="inlineStr"/>
      <c r="E111" s="9" t="inlineStr">
        <is>
          <t>adult_day</t>
        </is>
      </c>
    </row>
    <row r="112" ht="22" customHeight="1">
      <c r="A112" s="6" t="inlineStr">
        <is>
          <t>Personal Services</t>
        </is>
      </c>
    </row>
    <row r="113">
      <c r="A113" s="7" t="inlineStr">
        <is>
          <t>Personal Services</t>
        </is>
      </c>
      <c r="B113" s="7" t="inlineStr">
        <is>
          <t>Hair Salon / Barber Shop</t>
        </is>
      </c>
      <c r="C113" s="8" t="n">
        <v>2.25</v>
      </c>
      <c r="D113" s="7" t="inlineStr"/>
      <c r="E113" s="9" t="inlineStr">
        <is>
          <t>hair_salon</t>
        </is>
      </c>
    </row>
    <row r="114">
      <c r="A114" s="7" t="inlineStr">
        <is>
          <t>Personal Services</t>
        </is>
      </c>
      <c r="B114" s="7" t="inlineStr">
        <is>
          <t>Spa / Day Spa</t>
        </is>
      </c>
      <c r="C114" s="8" t="n">
        <v>3</v>
      </c>
      <c r="D114" s="7" t="inlineStr"/>
      <c r="E114" s="9" t="inlineStr">
        <is>
          <t>day_spa</t>
        </is>
      </c>
    </row>
    <row r="115">
      <c r="A115" s="7" t="inlineStr">
        <is>
          <t>Personal Services</t>
        </is>
      </c>
      <c r="B115" s="7" t="inlineStr">
        <is>
          <t>Tattoo / Piercing Studio</t>
        </is>
      </c>
      <c r="C115" s="8" t="n">
        <v>2</v>
      </c>
      <c r="D115" s="7" t="inlineStr"/>
      <c r="E115" s="9" t="inlineStr">
        <is>
          <t>tattoo</t>
        </is>
      </c>
    </row>
    <row r="116">
      <c r="A116" s="7" t="inlineStr">
        <is>
          <t>Personal Services</t>
        </is>
      </c>
      <c r="B116" s="7" t="inlineStr">
        <is>
          <t>Funeral Home / Death Care</t>
        </is>
      </c>
      <c r="C116" s="8" t="n">
        <v>5</v>
      </c>
      <c r="D116" s="7" t="inlineStr"/>
      <c r="E116" s="9" t="inlineStr">
        <is>
          <t>funeral_home</t>
        </is>
      </c>
    </row>
    <row r="117">
      <c r="A117" s="7" t="inlineStr">
        <is>
          <t>Personal Services</t>
        </is>
      </c>
      <c r="B117" s="7" t="inlineStr">
        <is>
          <t>Wedding / Event Planning</t>
        </is>
      </c>
      <c r="C117" s="8" t="n">
        <v>2.5</v>
      </c>
      <c r="D117" s="7" t="inlineStr"/>
      <c r="E117" s="9" t="inlineStr">
        <is>
          <t>event_planning</t>
        </is>
      </c>
    </row>
    <row r="118">
      <c r="A118" s="7" t="inlineStr">
        <is>
          <t>Personal Services</t>
        </is>
      </c>
      <c r="B118" s="7" t="inlineStr">
        <is>
          <t>Photography / Videography Studio</t>
        </is>
      </c>
      <c r="C118" s="8" t="n">
        <v>2.25</v>
      </c>
      <c r="D118" s="7" t="inlineStr"/>
      <c r="E118" s="9" t="inlineStr">
        <is>
          <t>photography</t>
        </is>
      </c>
    </row>
    <row r="119" ht="22" customHeight="1">
      <c r="A119" s="6" t="inlineStr">
        <is>
          <t>Agriculture &amp; Environmental</t>
        </is>
      </c>
    </row>
    <row r="120">
      <c r="A120" s="7" t="inlineStr">
        <is>
          <t>Agriculture &amp; Environmental</t>
        </is>
      </c>
      <c r="B120" s="7" t="inlineStr">
        <is>
          <t>Commercial Landscaping / Design-Build</t>
        </is>
      </c>
      <c r="C120" s="8" t="n">
        <v>4</v>
      </c>
      <c r="D120" s="7" t="inlineStr"/>
      <c r="E120" s="9" t="inlineStr">
        <is>
          <t>landscaping_design</t>
        </is>
      </c>
    </row>
    <row r="121">
      <c r="A121" s="7" t="inlineStr">
        <is>
          <t>Agriculture &amp; Environmental</t>
        </is>
      </c>
      <c r="B121" s="7" t="inlineStr">
        <is>
          <t>Tree Service / Arborist</t>
        </is>
      </c>
      <c r="C121" s="8" t="n">
        <v>3.5</v>
      </c>
      <c r="D121" s="7" t="inlineStr"/>
      <c r="E121" s="9" t="inlineStr">
        <is>
          <t>tree_service</t>
        </is>
      </c>
    </row>
    <row r="122">
      <c r="A122" s="7" t="inlineStr">
        <is>
          <t>Agriculture &amp; Environmental</t>
        </is>
      </c>
      <c r="B122" s="7" t="inlineStr">
        <is>
          <t>Environmental Services / Remediation</t>
        </is>
      </c>
      <c r="C122" s="8" t="n">
        <v>4</v>
      </c>
      <c r="D122" s="7" t="inlineStr"/>
      <c r="E122" s="9" t="inlineStr">
        <is>
          <t>environmental</t>
        </is>
      </c>
    </row>
    <row r="123">
      <c r="A123" s="7" t="inlineStr">
        <is>
          <t>Agriculture &amp; Environmental</t>
        </is>
      </c>
      <c r="B123" s="7" t="inlineStr">
        <is>
          <t>Waste Management — Small Hauler</t>
        </is>
      </c>
      <c r="C123" s="8" t="n">
        <v>4</v>
      </c>
      <c r="D123" s="7" t="inlineStr"/>
      <c r="E123" s="9" t="inlineStr">
        <is>
          <t>waste_mgmt</t>
        </is>
      </c>
    </row>
    <row r="124">
      <c r="A124" s="7" t="inlineStr">
        <is>
          <t>Agriculture &amp; Environmental</t>
        </is>
      </c>
      <c r="B124" s="7" t="inlineStr">
        <is>
          <t>Irrigation / Water Management</t>
        </is>
      </c>
      <c r="C124" s="8" t="n">
        <v>3.5</v>
      </c>
      <c r="D124" s="7" t="inlineStr"/>
      <c r="E124" s="9" t="inlineStr">
        <is>
          <t>irrigation</t>
        </is>
      </c>
    </row>
    <row r="125">
      <c r="A125" s="7" t="inlineStr">
        <is>
          <t>Agriculture &amp; Environmental</t>
        </is>
      </c>
      <c r="B125" s="7" t="inlineStr">
        <is>
          <t>Wholesale Nursery</t>
        </is>
      </c>
      <c r="C125" s="8" t="n">
        <v>3</v>
      </c>
      <c r="D125" s="7" t="inlineStr"/>
      <c r="E125" s="9" t="inlineStr">
        <is>
          <t>nursery</t>
        </is>
      </c>
    </row>
    <row r="126" ht="22" customHeight="1">
      <c r="A126" s="6" t="inlineStr">
        <is>
          <t>Publishing &amp; Media</t>
        </is>
      </c>
    </row>
    <row r="127">
      <c r="A127" s="7" t="inlineStr">
        <is>
          <t>Publishing &amp; Media</t>
        </is>
      </c>
      <c r="B127" s="7" t="inlineStr">
        <is>
          <t>Publishing</t>
        </is>
      </c>
      <c r="C127" s="8" t="n">
        <v>3.5</v>
      </c>
      <c r="D127" s="7" t="inlineStr"/>
      <c r="E127" s="9" t="inlineStr">
        <is>
          <t>publishing</t>
        </is>
      </c>
    </row>
    <row r="128">
      <c r="A128" s="7" t="inlineStr">
        <is>
          <t>Publishing &amp; Media</t>
        </is>
      </c>
      <c r="B128" s="7" t="inlineStr">
        <is>
          <t>Graphics / Printing</t>
        </is>
      </c>
      <c r="C128" s="8" t="n">
        <v>2.75</v>
      </c>
      <c r="D128" s="7" t="inlineStr"/>
      <c r="E128" s="9" t="inlineStr">
        <is>
          <t>printing</t>
        </is>
      </c>
    </row>
    <row r="129" ht="22" customHeight="1">
      <c r="A129" s="6" t="inlineStr">
        <is>
          <t>Other</t>
        </is>
      </c>
    </row>
    <row r="130">
      <c r="A130" s="7" t="inlineStr">
        <is>
          <t>Other</t>
        </is>
      </c>
      <c r="B130" s="7" t="inlineStr">
        <is>
          <t>Other / Not Listed</t>
        </is>
      </c>
      <c r="C130" s="8" t="n">
        <v>3.25</v>
      </c>
      <c r="D130" s="7" t="inlineStr"/>
      <c r="E130" s="9" t="inlineStr">
        <is>
          <t>other</t>
        </is>
      </c>
    </row>
  </sheetData>
  <mergeCells count="18">
    <mergeCell ref="A12:E12"/>
    <mergeCell ref="A4:E4"/>
    <mergeCell ref="A29:E29"/>
    <mergeCell ref="A43:E43"/>
    <mergeCell ref="A50:E50"/>
    <mergeCell ref="A2:E2"/>
    <mergeCell ref="A87:E87"/>
    <mergeCell ref="A64:E64"/>
    <mergeCell ref="A95:E95"/>
    <mergeCell ref="A101:E101"/>
    <mergeCell ref="A112:E112"/>
    <mergeCell ref="A129:E129"/>
    <mergeCell ref="A126:E126"/>
    <mergeCell ref="A107:E107"/>
    <mergeCell ref="A1:E1"/>
    <mergeCell ref="A37:E37"/>
    <mergeCell ref="A119:E119"/>
    <mergeCell ref="A79:E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workbookViewId="0">
      <pane ySplit="3" topLeftCell="A4" activePane="bottomLeft" state="frozen"/>
      <selection pane="bottomLeft" activeCell="A1" sqref="A1"/>
    </sheetView>
  </sheetViews>
  <sheetFormatPr baseColWidth="8" defaultRowHeight="15"/>
  <cols>
    <col width="30" customWidth="1" min="1" max="1"/>
    <col width="48" customWidth="1" min="2" max="2"/>
    <col width="12" customWidth="1" min="3" max="3"/>
    <col width="12" customWidth="1" min="4" max="4"/>
    <col width="14" customWidth="1" min="5" max="5"/>
    <col width="12" customWidth="1" min="6" max="6"/>
    <col width="14" customWidth="1" min="7" max="7"/>
    <col width="14" customWidth="1" min="8" max="8"/>
    <col width="24" customWidth="1" min="9" max="9"/>
  </cols>
  <sheetData>
    <row r="1" ht="28" customHeight="1">
      <c r="A1" s="1" t="inlineStr">
        <is>
          <t>Owner Dependency / Management Team — Industry-Specific Multiple Adjustments</t>
        </is>
      </c>
    </row>
    <row r="2" ht="70" customHeight="1">
      <c r="A2" s="2" t="inlineStr">
        <is>
          <t>Owner dependency is the only factor with industry-specific adjustments. L1 = fully owner-dependent. L3 = neutral baseline. L5 = the business runs without the owner. Industries where client relationships are personal (professional services, healthcare) penalise high owner dependency much more heavily than systemisable industries (retail, e-commerce). All values feed directly into the live calculation.</t>
        </is>
      </c>
    </row>
    <row r="3" ht="30" customHeight="1">
      <c r="A3" s="5" t="inlineStr">
        <is>
          <t>Category</t>
        </is>
      </c>
      <c r="B3" s="5" t="inlineStr">
        <is>
          <t>Industry</t>
        </is>
      </c>
      <c r="C3" s="5" t="inlineStr">
        <is>
          <t>L1
(Fully Dep.)</t>
        </is>
      </c>
      <c r="D3" s="5" t="inlineStr">
        <is>
          <t>L2
(High)</t>
        </is>
      </c>
      <c r="E3" s="5" t="inlineStr">
        <is>
          <t>L3
(Moderate)</t>
        </is>
      </c>
      <c r="F3" s="5" t="inlineStr">
        <is>
          <t>L4
(Low)</t>
        </is>
      </c>
      <c r="G3" s="5" t="inlineStr">
        <is>
          <t>L5
(Minimal)</t>
        </is>
      </c>
      <c r="H3" s="5" t="inlineStr">
        <is>
          <t>Max Swing
(L1→L5)</t>
        </is>
      </c>
      <c r="I3" s="5" t="inlineStr">
        <is>
          <t>Industry Code (slug)</t>
        </is>
      </c>
    </row>
    <row r="4" ht="22" customHeight="1">
      <c r="A4" s="6" t="inlineStr">
        <is>
          <t>Manufacturing &amp; Distribution</t>
        </is>
      </c>
    </row>
    <row r="5">
      <c r="A5" s="7" t="inlineStr">
        <is>
          <t>Manufacturing &amp; Distribution</t>
        </is>
      </c>
      <c r="B5" s="7" t="inlineStr">
        <is>
          <t>General Manufacturing</t>
        </is>
      </c>
      <c r="C5" s="10" t="n">
        <v>-1.8</v>
      </c>
      <c r="D5" s="10" t="n">
        <v>-0.9</v>
      </c>
      <c r="E5" s="10" t="n">
        <v>0</v>
      </c>
      <c r="F5" s="10" t="n">
        <v>0.45</v>
      </c>
      <c r="G5" s="10" t="n">
        <v>0.75</v>
      </c>
      <c r="H5" s="11" t="n">
        <v>2.55</v>
      </c>
      <c r="I5" s="9" t="inlineStr">
        <is>
          <t>manufacturing</t>
        </is>
      </c>
    </row>
    <row r="6">
      <c r="A6" s="7" t="inlineStr">
        <is>
          <t>Manufacturing &amp; Distribution</t>
        </is>
      </c>
      <c r="B6" s="7" t="inlineStr">
        <is>
          <t>Specialty / Niche Manufacturing</t>
        </is>
      </c>
      <c r="C6" s="10" t="n">
        <v>-1.8</v>
      </c>
      <c r="D6" s="10" t="n">
        <v>-0.9</v>
      </c>
      <c r="E6" s="10" t="n">
        <v>0</v>
      </c>
      <c r="F6" s="10" t="n">
        <v>0.45</v>
      </c>
      <c r="G6" s="10" t="n">
        <v>0.75</v>
      </c>
      <c r="H6" s="11" t="n">
        <v>2.55</v>
      </c>
      <c r="I6" s="9" t="inlineStr">
        <is>
          <t>mfg_specialty</t>
        </is>
      </c>
    </row>
    <row r="7">
      <c r="A7" s="7" t="inlineStr">
        <is>
          <t>Manufacturing &amp; Distribution</t>
        </is>
      </c>
      <c r="B7" s="7" t="inlineStr">
        <is>
          <t>Food Manufacturing / Processing</t>
        </is>
      </c>
      <c r="C7" s="10" t="n">
        <v>-1.8</v>
      </c>
      <c r="D7" s="10" t="n">
        <v>-0.9</v>
      </c>
      <c r="E7" s="10" t="n">
        <v>0</v>
      </c>
      <c r="F7" s="10" t="n">
        <v>0.45</v>
      </c>
      <c r="G7" s="10" t="n">
        <v>0.75</v>
      </c>
      <c r="H7" s="11" t="n">
        <v>2.55</v>
      </c>
      <c r="I7" s="9" t="inlineStr">
        <is>
          <t>food_processing</t>
        </is>
      </c>
    </row>
    <row r="8">
      <c r="A8" s="7" t="inlineStr">
        <is>
          <t>Manufacturing &amp; Distribution</t>
        </is>
      </c>
      <c r="B8" s="7" t="inlineStr">
        <is>
          <t>Machine Shop</t>
        </is>
      </c>
      <c r="C8" s="10" t="n">
        <v>-1.8</v>
      </c>
      <c r="D8" s="10" t="n">
        <v>-0.9</v>
      </c>
      <c r="E8" s="10" t="n">
        <v>0</v>
      </c>
      <c r="F8" s="10" t="n">
        <v>0.45</v>
      </c>
      <c r="G8" s="10" t="n">
        <v>0.75</v>
      </c>
      <c r="H8" s="11" t="n">
        <v>2.55</v>
      </c>
      <c r="I8" s="9" t="inlineStr">
        <is>
          <t>machine_shop</t>
        </is>
      </c>
    </row>
    <row r="9">
      <c r="A9" s="7" t="inlineStr">
        <is>
          <t>Manufacturing &amp; Distribution</t>
        </is>
      </c>
      <c r="B9" s="7" t="inlineStr">
        <is>
          <t>Distribution / Wholesale — General</t>
        </is>
      </c>
      <c r="C9" s="10" t="n">
        <v>-1.5</v>
      </c>
      <c r="D9" s="10" t="n">
        <v>-0.75</v>
      </c>
      <c r="E9" s="10" t="n">
        <v>0</v>
      </c>
      <c r="F9" s="10" t="n">
        <v>0.45</v>
      </c>
      <c r="G9" s="10" t="n">
        <v>0.75</v>
      </c>
      <c r="H9" s="11" t="n">
        <v>2.25</v>
      </c>
      <c r="I9" s="9" t="inlineStr">
        <is>
          <t>distribution</t>
        </is>
      </c>
    </row>
    <row r="10">
      <c r="A10" s="7" t="inlineStr">
        <is>
          <t>Manufacturing &amp; Distribution</t>
        </is>
      </c>
      <c r="B10" s="7" t="inlineStr">
        <is>
          <t>Distribution — Specialty / Niche</t>
        </is>
      </c>
      <c r="C10" s="10" t="n">
        <v>-1.5</v>
      </c>
      <c r="D10" s="10" t="n">
        <v>-0.75</v>
      </c>
      <c r="E10" s="10" t="n">
        <v>0</v>
      </c>
      <c r="F10" s="10" t="n">
        <v>0.45</v>
      </c>
      <c r="G10" s="10" t="n">
        <v>0.75</v>
      </c>
      <c r="H10" s="11" t="n">
        <v>2.25</v>
      </c>
      <c r="I10" s="9" t="inlineStr">
        <is>
          <t>distribution_specialty</t>
        </is>
      </c>
    </row>
    <row r="11">
      <c r="A11" s="7" t="inlineStr">
        <is>
          <t>Manufacturing &amp; Distribution</t>
        </is>
      </c>
      <c r="B11" s="7" t="inlineStr">
        <is>
          <t>Industrial Services</t>
        </is>
      </c>
      <c r="C11" s="10" t="n">
        <v>-1.5</v>
      </c>
      <c r="D11" s="10" t="n">
        <v>-0.75</v>
      </c>
      <c r="E11" s="10" t="n">
        <v>0</v>
      </c>
      <c r="F11" s="10" t="n">
        <v>0.45</v>
      </c>
      <c r="G11" s="10" t="n">
        <v>0.75</v>
      </c>
      <c r="H11" s="11" t="n">
        <v>2.25</v>
      </c>
      <c r="I11" s="9" t="inlineStr">
        <is>
          <t>industrial_services</t>
        </is>
      </c>
    </row>
    <row r="12" ht="22" customHeight="1">
      <c r="A12" s="6" t="inlineStr">
        <is>
          <t>Home &amp; Field Services</t>
        </is>
      </c>
    </row>
    <row r="13">
      <c r="A13" s="7" t="inlineStr">
        <is>
          <t>Home &amp; Field Services</t>
        </is>
      </c>
      <c r="B13" s="7" t="inlineStr">
        <is>
          <t>HVAC</t>
        </is>
      </c>
      <c r="C13" s="10" t="n">
        <v>-2.1</v>
      </c>
      <c r="D13" s="10" t="n">
        <v>-1.05</v>
      </c>
      <c r="E13" s="10" t="n">
        <v>0</v>
      </c>
      <c r="F13" s="10" t="n">
        <v>0.45</v>
      </c>
      <c r="G13" s="10" t="n">
        <v>0.75</v>
      </c>
      <c r="H13" s="11" t="n">
        <v>2.85</v>
      </c>
      <c r="I13" s="9" t="inlineStr">
        <is>
          <t>hvac</t>
        </is>
      </c>
    </row>
    <row r="14">
      <c r="A14" s="7" t="inlineStr">
        <is>
          <t>Home &amp; Field Services</t>
        </is>
      </c>
      <c r="B14" s="7" t="inlineStr">
        <is>
          <t>Plumbing</t>
        </is>
      </c>
      <c r="C14" s="10" t="n">
        <v>-2.1</v>
      </c>
      <c r="D14" s="10" t="n">
        <v>-1.05</v>
      </c>
      <c r="E14" s="10" t="n">
        <v>0</v>
      </c>
      <c r="F14" s="10" t="n">
        <v>0.45</v>
      </c>
      <c r="G14" s="10" t="n">
        <v>0.75</v>
      </c>
      <c r="H14" s="11" t="n">
        <v>2.85</v>
      </c>
      <c r="I14" s="9" t="inlineStr">
        <is>
          <t>plumbing</t>
        </is>
      </c>
    </row>
    <row r="15">
      <c r="A15" s="7" t="inlineStr">
        <is>
          <t>Home &amp; Field Services</t>
        </is>
      </c>
      <c r="B15" s="7" t="inlineStr">
        <is>
          <t>Electrical</t>
        </is>
      </c>
      <c r="C15" s="10" t="n">
        <v>-2.1</v>
      </c>
      <c r="D15" s="10" t="n">
        <v>-1.05</v>
      </c>
      <c r="E15" s="10" t="n">
        <v>0</v>
      </c>
      <c r="F15" s="10" t="n">
        <v>0.45</v>
      </c>
      <c r="G15" s="10" t="n">
        <v>0.75</v>
      </c>
      <c r="H15" s="11" t="n">
        <v>2.85</v>
      </c>
      <c r="I15" s="9" t="inlineStr">
        <is>
          <t>electrical</t>
        </is>
      </c>
    </row>
    <row r="16">
      <c r="A16" s="7" t="inlineStr">
        <is>
          <t>Home &amp; Field Services</t>
        </is>
      </c>
      <c r="B16" s="7" t="inlineStr">
        <is>
          <t>Roofing</t>
        </is>
      </c>
      <c r="C16" s="10" t="n">
        <v>-1.95</v>
      </c>
      <c r="D16" s="10" t="n">
        <v>-1.05</v>
      </c>
      <c r="E16" s="10" t="n">
        <v>0</v>
      </c>
      <c r="F16" s="10" t="n">
        <v>0.45</v>
      </c>
      <c r="G16" s="10" t="n">
        <v>0.75</v>
      </c>
      <c r="H16" s="11" t="n">
        <v>2.7</v>
      </c>
      <c r="I16" s="9" t="inlineStr">
        <is>
          <t>roofing</t>
        </is>
      </c>
    </row>
    <row r="17">
      <c r="A17" s="7" t="inlineStr">
        <is>
          <t>Home &amp; Field Services</t>
        </is>
      </c>
      <c r="B17" s="7" t="inlineStr">
        <is>
          <t>Landscape Maintenance — Residential</t>
        </is>
      </c>
      <c r="C17" s="10" t="n">
        <v>-2.1</v>
      </c>
      <c r="D17" s="10" t="n">
        <v>-1.05</v>
      </c>
      <c r="E17" s="10" t="n">
        <v>0</v>
      </c>
      <c r="F17" s="10" t="n">
        <v>0.45</v>
      </c>
      <c r="G17" s="10" t="n">
        <v>0.75</v>
      </c>
      <c r="H17" s="11" t="n">
        <v>2.85</v>
      </c>
      <c r="I17" s="9" t="inlineStr">
        <is>
          <t>landscape_residential</t>
        </is>
      </c>
    </row>
    <row r="18">
      <c r="A18" s="7" t="inlineStr">
        <is>
          <t>Home &amp; Field Services</t>
        </is>
      </c>
      <c r="B18" s="7" t="inlineStr">
        <is>
          <t>Landscape Maintenance — Commercial / B2B</t>
        </is>
      </c>
      <c r="C18" s="10" t="n">
        <v>-1.5</v>
      </c>
      <c r="D18" s="10" t="n">
        <v>-0.75</v>
      </c>
      <c r="E18" s="10" t="n">
        <v>0</v>
      </c>
      <c r="F18" s="10" t="n">
        <v>0.38</v>
      </c>
      <c r="G18" s="10" t="n">
        <v>0.6</v>
      </c>
      <c r="H18" s="11" t="n">
        <v>2.1</v>
      </c>
      <c r="I18" s="9" t="inlineStr">
        <is>
          <t>landscape_commercial</t>
        </is>
      </c>
    </row>
    <row r="19">
      <c r="A19" s="7" t="inlineStr">
        <is>
          <t>Home &amp; Field Services</t>
        </is>
      </c>
      <c r="B19" s="7" t="inlineStr">
        <is>
          <t>Pest Control — Residential</t>
        </is>
      </c>
      <c r="C19" s="10" t="n">
        <v>-2.1</v>
      </c>
      <c r="D19" s="10" t="n">
        <v>-1.05</v>
      </c>
      <c r="E19" s="10" t="n">
        <v>0</v>
      </c>
      <c r="F19" s="10" t="n">
        <v>0.45</v>
      </c>
      <c r="G19" s="10" t="n">
        <v>0.75</v>
      </c>
      <c r="H19" s="11" t="n">
        <v>2.85</v>
      </c>
      <c r="I19" s="9" t="inlineStr">
        <is>
          <t>pest_residential</t>
        </is>
      </c>
    </row>
    <row r="20">
      <c r="A20" s="7" t="inlineStr">
        <is>
          <t>Home &amp; Field Services</t>
        </is>
      </c>
      <c r="B20" s="7" t="inlineStr">
        <is>
          <t>Pest Control — Commercial / B2B</t>
        </is>
      </c>
      <c r="C20" s="10" t="n">
        <v>-1.5</v>
      </c>
      <c r="D20" s="10" t="n">
        <v>-0.75</v>
      </c>
      <c r="E20" s="10" t="n">
        <v>0</v>
      </c>
      <c r="F20" s="10" t="n">
        <v>0.38</v>
      </c>
      <c r="G20" s="10" t="n">
        <v>0.6</v>
      </c>
      <c r="H20" s="11" t="n">
        <v>2.1</v>
      </c>
      <c r="I20" s="9" t="inlineStr">
        <is>
          <t>pest_commercial</t>
        </is>
      </c>
    </row>
    <row r="21">
      <c r="A21" s="7" t="inlineStr">
        <is>
          <t>Home &amp; Field Services</t>
        </is>
      </c>
      <c r="B21" s="7" t="inlineStr">
        <is>
          <t>Pool Service &amp; Maintenance</t>
        </is>
      </c>
      <c r="C21" s="10" t="n">
        <v>-1.5</v>
      </c>
      <c r="D21" s="10" t="n">
        <v>-0.75</v>
      </c>
      <c r="E21" s="10" t="n">
        <v>0</v>
      </c>
      <c r="F21" s="10" t="n">
        <v>0.38</v>
      </c>
      <c r="G21" s="10" t="n">
        <v>0.6</v>
      </c>
      <c r="H21" s="11" t="n">
        <v>2.1</v>
      </c>
      <c r="I21" s="9" t="inlineStr">
        <is>
          <t>pool_service</t>
        </is>
      </c>
    </row>
    <row r="22">
      <c r="A22" s="7" t="inlineStr">
        <is>
          <t>Home &amp; Field Services</t>
        </is>
      </c>
      <c r="B22" s="7" t="inlineStr">
        <is>
          <t>Cleaning — Residential / Maid Services</t>
        </is>
      </c>
      <c r="C22" s="10" t="n">
        <v>-1.5</v>
      </c>
      <c r="D22" s="10" t="n">
        <v>-0.75</v>
      </c>
      <c r="E22" s="10" t="n">
        <v>0</v>
      </c>
      <c r="F22" s="10" t="n">
        <v>0.38</v>
      </c>
      <c r="G22" s="10" t="n">
        <v>0.6</v>
      </c>
      <c r="H22" s="11" t="n">
        <v>2.1</v>
      </c>
      <c r="I22" s="9" t="inlineStr">
        <is>
          <t>cleaning_residential</t>
        </is>
      </c>
    </row>
    <row r="23">
      <c r="A23" s="7" t="inlineStr">
        <is>
          <t>Home &amp; Field Services</t>
        </is>
      </c>
      <c r="B23" s="7" t="inlineStr">
        <is>
          <t>Cleaning — Commercial / Janitorial</t>
        </is>
      </c>
      <c r="C23" s="10" t="n">
        <v>-1.5</v>
      </c>
      <c r="D23" s="10" t="n">
        <v>-0.75</v>
      </c>
      <c r="E23" s="10" t="n">
        <v>0</v>
      </c>
      <c r="F23" s="10" t="n">
        <v>0.38</v>
      </c>
      <c r="G23" s="10" t="n">
        <v>0.6</v>
      </c>
      <c r="H23" s="11" t="n">
        <v>2.1</v>
      </c>
      <c r="I23" s="9" t="inlineStr">
        <is>
          <t>cleaning_commercial</t>
        </is>
      </c>
    </row>
    <row r="24">
      <c r="A24" s="7" t="inlineStr">
        <is>
          <t>Home &amp; Field Services</t>
        </is>
      </c>
      <c r="B24" s="7" t="inlineStr">
        <is>
          <t>Security Systems — Installation &amp; Monitoring</t>
        </is>
      </c>
      <c r="C24" s="10" t="n">
        <v>-1.5</v>
      </c>
      <c r="D24" s="10" t="n">
        <v>-0.75</v>
      </c>
      <c r="E24" s="10" t="n">
        <v>0</v>
      </c>
      <c r="F24" s="10" t="n">
        <v>0.38</v>
      </c>
      <c r="G24" s="10" t="n">
        <v>0.6</v>
      </c>
      <c r="H24" s="11" t="n">
        <v>2.1</v>
      </c>
      <c r="I24" s="9" t="inlineStr">
        <is>
          <t>security_systems</t>
        </is>
      </c>
    </row>
    <row r="25">
      <c r="A25" s="7" t="inlineStr">
        <is>
          <t>Home &amp; Field Services</t>
        </is>
      </c>
      <c r="B25" s="7" t="inlineStr">
        <is>
          <t>Painting — Residential &amp; Commercial</t>
        </is>
      </c>
      <c r="C25" s="10" t="n">
        <v>-1.5</v>
      </c>
      <c r="D25" s="10" t="n">
        <v>-0.75</v>
      </c>
      <c r="E25" s="10" t="n">
        <v>0</v>
      </c>
      <c r="F25" s="10" t="n">
        <v>0.38</v>
      </c>
      <c r="G25" s="10" t="n">
        <v>0.6</v>
      </c>
      <c r="H25" s="11" t="n">
        <v>2.1</v>
      </c>
      <c r="I25" s="9" t="inlineStr">
        <is>
          <t>painting</t>
        </is>
      </c>
    </row>
    <row r="26">
      <c r="A26" s="7" t="inlineStr">
        <is>
          <t>Home &amp; Field Services</t>
        </is>
      </c>
      <c r="B26" s="7" t="inlineStr">
        <is>
          <t>Junk Removal / Hauling</t>
        </is>
      </c>
      <c r="C26" s="10" t="n">
        <v>-1.5</v>
      </c>
      <c r="D26" s="10" t="n">
        <v>-0.75</v>
      </c>
      <c r="E26" s="10" t="n">
        <v>0</v>
      </c>
      <c r="F26" s="10" t="n">
        <v>0.38</v>
      </c>
      <c r="G26" s="10" t="n">
        <v>0.6</v>
      </c>
      <c r="H26" s="11" t="n">
        <v>2.1</v>
      </c>
      <c r="I26" s="9" t="inlineStr">
        <is>
          <t>junk_removal</t>
        </is>
      </c>
    </row>
    <row r="27">
      <c r="A27" s="7" t="inlineStr">
        <is>
          <t>Home &amp; Field Services</t>
        </is>
      </c>
      <c r="B27" s="7" t="inlineStr">
        <is>
          <t>Moving Companies</t>
        </is>
      </c>
      <c r="C27" s="10" t="n">
        <v>-1.5</v>
      </c>
      <c r="D27" s="10" t="n">
        <v>-0.75</v>
      </c>
      <c r="E27" s="10" t="n">
        <v>0</v>
      </c>
      <c r="F27" s="10" t="n">
        <v>0.38</v>
      </c>
      <c r="G27" s="10" t="n">
        <v>0.6</v>
      </c>
      <c r="H27" s="11" t="n">
        <v>2.1</v>
      </c>
      <c r="I27" s="9" t="inlineStr">
        <is>
          <t>moving</t>
        </is>
      </c>
    </row>
    <row r="28">
      <c r="A28" s="7" t="inlineStr">
        <is>
          <t>Home &amp; Field Services</t>
        </is>
      </c>
      <c r="B28" s="7" t="inlineStr">
        <is>
          <t>Appliance Repair</t>
        </is>
      </c>
      <c r="C28" s="10" t="n">
        <v>-1.5</v>
      </c>
      <c r="D28" s="10" t="n">
        <v>-0.75</v>
      </c>
      <c r="E28" s="10" t="n">
        <v>0</v>
      </c>
      <c r="F28" s="10" t="n">
        <v>0.38</v>
      </c>
      <c r="G28" s="10" t="n">
        <v>0.6</v>
      </c>
      <c r="H28" s="11" t="n">
        <v>2.1</v>
      </c>
      <c r="I28" s="9" t="inlineStr">
        <is>
          <t>appliance_repair</t>
        </is>
      </c>
    </row>
    <row r="29" ht="22" customHeight="1">
      <c r="A29" s="6" t="inlineStr">
        <is>
          <t>Retail</t>
        </is>
      </c>
    </row>
    <row r="30">
      <c r="A30" s="7" t="inlineStr">
        <is>
          <t>Retail</t>
        </is>
      </c>
      <c r="B30" s="7" t="inlineStr">
        <is>
          <t>Brick-and-Mortar Retail — General</t>
        </is>
      </c>
      <c r="C30" s="10" t="n">
        <v>-1.2</v>
      </c>
      <c r="D30" s="10" t="n">
        <v>-0.6</v>
      </c>
      <c r="E30" s="10" t="n">
        <v>0</v>
      </c>
      <c r="F30" s="10" t="n">
        <v>0.3</v>
      </c>
      <c r="G30" s="10" t="n">
        <v>0.6</v>
      </c>
      <c r="H30" s="11" t="n">
        <v>1.8</v>
      </c>
      <c r="I30" s="9" t="inlineStr">
        <is>
          <t>retail_general</t>
        </is>
      </c>
    </row>
    <row r="31">
      <c r="A31" s="7" t="inlineStr">
        <is>
          <t>Retail</t>
        </is>
      </c>
      <c r="B31" s="7" t="inlineStr">
        <is>
          <t>Specialty / Niche Retail</t>
        </is>
      </c>
      <c r="C31" s="10" t="n">
        <v>-1.2</v>
      </c>
      <c r="D31" s="10" t="n">
        <v>-0.6</v>
      </c>
      <c r="E31" s="10" t="n">
        <v>0</v>
      </c>
      <c r="F31" s="10" t="n">
        <v>0.3</v>
      </c>
      <c r="G31" s="10" t="n">
        <v>0.6</v>
      </c>
      <c r="H31" s="11" t="n">
        <v>1.8</v>
      </c>
      <c r="I31" s="9" t="inlineStr">
        <is>
          <t>retail_specialty</t>
        </is>
      </c>
    </row>
    <row r="32">
      <c r="A32" s="7" t="inlineStr">
        <is>
          <t>Retail</t>
        </is>
      </c>
      <c r="B32" s="7" t="inlineStr">
        <is>
          <t>Beer, Wine &amp; Liquor Store</t>
        </is>
      </c>
      <c r="C32" s="10" t="n">
        <v>-1.2</v>
      </c>
      <c r="D32" s="10" t="n">
        <v>-0.6</v>
      </c>
      <c r="E32" s="10" t="n">
        <v>0</v>
      </c>
      <c r="F32" s="10" t="n">
        <v>0.3</v>
      </c>
      <c r="G32" s="10" t="n">
        <v>0.6</v>
      </c>
      <c r="H32" s="11" t="n">
        <v>1.8</v>
      </c>
      <c r="I32" s="9" t="inlineStr">
        <is>
          <t>liquor_store</t>
        </is>
      </c>
    </row>
    <row r="33">
      <c r="A33" s="7" t="inlineStr">
        <is>
          <t>Retail</t>
        </is>
      </c>
      <c r="B33" s="7" t="inlineStr">
        <is>
          <t>Auto Parts / Auto Accessories</t>
        </is>
      </c>
      <c r="C33" s="10" t="n">
        <v>-1.2</v>
      </c>
      <c r="D33" s="10" t="n">
        <v>-0.6</v>
      </c>
      <c r="E33" s="10" t="n">
        <v>0</v>
      </c>
      <c r="F33" s="10" t="n">
        <v>0.3</v>
      </c>
      <c r="G33" s="10" t="n">
        <v>0.6</v>
      </c>
      <c r="H33" s="11" t="n">
        <v>1.8</v>
      </c>
      <c r="I33" s="9" t="inlineStr">
        <is>
          <t>auto_parts</t>
        </is>
      </c>
    </row>
    <row r="34">
      <c r="A34" s="7" t="inlineStr">
        <is>
          <t>Retail</t>
        </is>
      </c>
      <c r="B34" s="7" t="inlineStr">
        <is>
          <t>Gas Station / Convenience Store</t>
        </is>
      </c>
      <c r="C34" s="10" t="n">
        <v>-1.2</v>
      </c>
      <c r="D34" s="10" t="n">
        <v>-0.6</v>
      </c>
      <c r="E34" s="10" t="n">
        <v>0</v>
      </c>
      <c r="F34" s="10" t="n">
        <v>0.3</v>
      </c>
      <c r="G34" s="10" t="n">
        <v>0.6</v>
      </c>
      <c r="H34" s="11" t="n">
        <v>1.8</v>
      </c>
      <c r="I34" s="9" t="inlineStr">
        <is>
          <t>gas_station</t>
        </is>
      </c>
    </row>
    <row r="35">
      <c r="A35" s="7" t="inlineStr">
        <is>
          <t>Retail</t>
        </is>
      </c>
      <c r="B35" s="7" t="inlineStr">
        <is>
          <t>E-Commerce — Branded / DTC</t>
        </is>
      </c>
      <c r="C35" s="10" t="n">
        <v>-1.2</v>
      </c>
      <c r="D35" s="10" t="n">
        <v>-0.6</v>
      </c>
      <c r="E35" s="10" t="n">
        <v>0</v>
      </c>
      <c r="F35" s="10" t="n">
        <v>0.45</v>
      </c>
      <c r="G35" s="10" t="n">
        <v>0.9</v>
      </c>
      <c r="H35" s="11" t="n">
        <v>2.1</v>
      </c>
      <c r="I35" s="9" t="inlineStr">
        <is>
          <t>ecommerce_branded</t>
        </is>
      </c>
    </row>
    <row r="36">
      <c r="A36" s="7" t="inlineStr">
        <is>
          <t>Retail</t>
        </is>
      </c>
      <c r="B36" s="7" t="inlineStr">
        <is>
          <t>E-Commerce — Amazon FBA / Marketplace</t>
        </is>
      </c>
      <c r="C36" s="10" t="n">
        <v>-1.2</v>
      </c>
      <c r="D36" s="10" t="n">
        <v>-0.6</v>
      </c>
      <c r="E36" s="10" t="n">
        <v>0</v>
      </c>
      <c r="F36" s="10" t="n">
        <v>0.45</v>
      </c>
      <c r="G36" s="10" t="n">
        <v>0.9</v>
      </c>
      <c r="H36" s="11" t="n">
        <v>2.1</v>
      </c>
      <c r="I36" s="9" t="inlineStr">
        <is>
          <t>ecommerce_amazon</t>
        </is>
      </c>
    </row>
    <row r="37" ht="22" customHeight="1">
      <c r="A37" s="6" t="inlineStr">
        <is>
          <t>Food &amp; Beverage</t>
        </is>
      </c>
    </row>
    <row r="38">
      <c r="A38" s="7" t="inlineStr">
        <is>
          <t>Food &amp; Beverage</t>
        </is>
      </c>
      <c r="B38" s="7" t="inlineStr">
        <is>
          <t>Restaurant — Full Service</t>
        </is>
      </c>
      <c r="C38" s="10" t="n">
        <v>-1.05</v>
      </c>
      <c r="D38" s="10" t="n">
        <v>-0.52</v>
      </c>
      <c r="E38" s="10" t="n">
        <v>0</v>
      </c>
      <c r="F38" s="10" t="n">
        <v>0.3</v>
      </c>
      <c r="G38" s="10" t="n">
        <v>0.45</v>
      </c>
      <c r="H38" s="11" t="n">
        <v>1.5</v>
      </c>
      <c r="I38" s="9" t="inlineStr">
        <is>
          <t>restaurant_full</t>
        </is>
      </c>
    </row>
    <row r="39">
      <c r="A39" s="7" t="inlineStr">
        <is>
          <t>Food &amp; Beverage</t>
        </is>
      </c>
      <c r="B39" s="7" t="inlineStr">
        <is>
          <t>Restaurant — Fast Casual / QSR</t>
        </is>
      </c>
      <c r="C39" s="10" t="n">
        <v>-1.05</v>
      </c>
      <c r="D39" s="10" t="n">
        <v>-0.52</v>
      </c>
      <c r="E39" s="10" t="n">
        <v>0</v>
      </c>
      <c r="F39" s="10" t="n">
        <v>0.3</v>
      </c>
      <c r="G39" s="10" t="n">
        <v>0.45</v>
      </c>
      <c r="H39" s="11" t="n">
        <v>1.5</v>
      </c>
      <c r="I39" s="9" t="inlineStr">
        <is>
          <t>restaurant_fast</t>
        </is>
      </c>
    </row>
    <row r="40">
      <c r="A40" s="7" t="inlineStr">
        <is>
          <t>Food &amp; Beverage</t>
        </is>
      </c>
      <c r="B40" s="7" t="inlineStr">
        <is>
          <t>Catering &amp; Event Food Service</t>
        </is>
      </c>
      <c r="C40" s="10" t="n">
        <v>-1.05</v>
      </c>
      <c r="D40" s="10" t="n">
        <v>-0.52</v>
      </c>
      <c r="E40" s="10" t="n">
        <v>0</v>
      </c>
      <c r="F40" s="10" t="n">
        <v>0.3</v>
      </c>
      <c r="G40" s="10" t="n">
        <v>0.45</v>
      </c>
      <c r="H40" s="11" t="n">
        <v>1.5</v>
      </c>
      <c r="I40" s="9" t="inlineStr">
        <is>
          <t>catering</t>
        </is>
      </c>
    </row>
    <row r="41">
      <c r="A41" s="7" t="inlineStr">
        <is>
          <t>Food &amp; Beverage</t>
        </is>
      </c>
      <c r="B41" s="7" t="inlineStr">
        <is>
          <t>Specialty Food Production / Manufacturing</t>
        </is>
      </c>
      <c r="C41" s="10" t="n">
        <v>-1.8</v>
      </c>
      <c r="D41" s="10" t="n">
        <v>-0.9</v>
      </c>
      <c r="E41" s="10" t="n">
        <v>0</v>
      </c>
      <c r="F41" s="10" t="n">
        <v>0.45</v>
      </c>
      <c r="G41" s="10" t="n">
        <v>0.75</v>
      </c>
      <c r="H41" s="11" t="n">
        <v>2.55</v>
      </c>
      <c r="I41" s="9" t="inlineStr">
        <is>
          <t>food_mfg</t>
        </is>
      </c>
    </row>
    <row r="42">
      <c r="A42" s="7" t="inlineStr">
        <is>
          <t>Food &amp; Beverage</t>
        </is>
      </c>
      <c r="B42" s="7" t="inlineStr">
        <is>
          <t>Bakery / Food Retail</t>
        </is>
      </c>
      <c r="C42" s="10" t="n">
        <v>-1.2</v>
      </c>
      <c r="D42" s="10" t="n">
        <v>-0.6</v>
      </c>
      <c r="E42" s="10" t="n">
        <v>0</v>
      </c>
      <c r="F42" s="10" t="n">
        <v>0.3</v>
      </c>
      <c r="G42" s="10" t="n">
        <v>0.6</v>
      </c>
      <c r="H42" s="11" t="n">
        <v>1.8</v>
      </c>
      <c r="I42" s="9" t="inlineStr">
        <is>
          <t>bakery</t>
        </is>
      </c>
    </row>
    <row r="43" ht="22" customHeight="1">
      <c r="A43" s="6" t="inlineStr">
        <is>
          <t>Automotive</t>
        </is>
      </c>
    </row>
    <row r="44">
      <c r="A44" s="7" t="inlineStr">
        <is>
          <t>Automotive</t>
        </is>
      </c>
      <c r="B44" s="7" t="inlineStr">
        <is>
          <t>Auto Repair / Mechanic Shop</t>
        </is>
      </c>
      <c r="C44" s="10" t="n">
        <v>-1.35</v>
      </c>
      <c r="D44" s="10" t="n">
        <v>-0.68</v>
      </c>
      <c r="E44" s="10" t="n">
        <v>0</v>
      </c>
      <c r="F44" s="10" t="n">
        <v>0.38</v>
      </c>
      <c r="G44" s="10" t="n">
        <v>0.6</v>
      </c>
      <c r="H44" s="11" t="n">
        <v>1.95</v>
      </c>
      <c r="I44" s="9" t="inlineStr">
        <is>
          <t>auto_repair</t>
        </is>
      </c>
    </row>
    <row r="45">
      <c r="A45" s="7" t="inlineStr">
        <is>
          <t>Automotive</t>
        </is>
      </c>
      <c r="B45" s="7" t="inlineStr">
        <is>
          <t>Auto Body / Collision Repair</t>
        </is>
      </c>
      <c r="C45" s="10" t="n">
        <v>-1.35</v>
      </c>
      <c r="D45" s="10" t="n">
        <v>-0.68</v>
      </c>
      <c r="E45" s="10" t="n">
        <v>0</v>
      </c>
      <c r="F45" s="10" t="n">
        <v>0.38</v>
      </c>
      <c r="G45" s="10" t="n">
        <v>0.6</v>
      </c>
      <c r="H45" s="11" t="n">
        <v>1.95</v>
      </c>
      <c r="I45" s="9" t="inlineStr">
        <is>
          <t>auto_body</t>
        </is>
      </c>
    </row>
    <row r="46">
      <c r="A46" s="7" t="inlineStr">
        <is>
          <t>Automotive</t>
        </is>
      </c>
      <c r="B46" s="7" t="inlineStr">
        <is>
          <t>Car Wash — Full Service / Detail</t>
        </is>
      </c>
      <c r="C46" s="10" t="n">
        <v>-1.2</v>
      </c>
      <c r="D46" s="10" t="n">
        <v>-0.6</v>
      </c>
      <c r="E46" s="10" t="n">
        <v>0</v>
      </c>
      <c r="F46" s="10" t="n">
        <v>0.3</v>
      </c>
      <c r="G46" s="10" t="n">
        <v>0.6</v>
      </c>
      <c r="H46" s="11" t="n">
        <v>1.8</v>
      </c>
      <c r="I46" s="9" t="inlineStr">
        <is>
          <t>car_wash</t>
        </is>
      </c>
    </row>
    <row r="47">
      <c r="A47" s="7" t="inlineStr">
        <is>
          <t>Automotive</t>
        </is>
      </c>
      <c r="B47" s="7" t="inlineStr">
        <is>
          <t>Auto Dealership — New</t>
        </is>
      </c>
      <c r="C47" s="10" t="n">
        <v>-1.2</v>
      </c>
      <c r="D47" s="10" t="n">
        <v>-0.6</v>
      </c>
      <c r="E47" s="10" t="n">
        <v>0</v>
      </c>
      <c r="F47" s="10" t="n">
        <v>0.3</v>
      </c>
      <c r="G47" s="10" t="n">
        <v>0.6</v>
      </c>
      <c r="H47" s="11" t="n">
        <v>1.8</v>
      </c>
      <c r="I47" s="9" t="inlineStr">
        <is>
          <t>auto_dealer_new</t>
        </is>
      </c>
    </row>
    <row r="48">
      <c r="A48" s="7" t="inlineStr">
        <is>
          <t>Automotive</t>
        </is>
      </c>
      <c r="B48" s="7" t="inlineStr">
        <is>
          <t>Auto Dealership — Used</t>
        </is>
      </c>
      <c r="C48" s="10" t="n">
        <v>-1.2</v>
      </c>
      <c r="D48" s="10" t="n">
        <v>-0.6</v>
      </c>
      <c r="E48" s="10" t="n">
        <v>0</v>
      </c>
      <c r="F48" s="10" t="n">
        <v>0.3</v>
      </c>
      <c r="G48" s="10" t="n">
        <v>0.6</v>
      </c>
      <c r="H48" s="11" t="n">
        <v>1.8</v>
      </c>
      <c r="I48" s="9" t="inlineStr">
        <is>
          <t>auto_dealer_used</t>
        </is>
      </c>
    </row>
    <row r="49">
      <c r="A49" s="7" t="inlineStr">
        <is>
          <t>Automotive</t>
        </is>
      </c>
      <c r="B49" s="7" t="inlineStr">
        <is>
          <t>Auto Rental / Fleet Services</t>
        </is>
      </c>
      <c r="C49" s="10" t="n">
        <v>-1.5</v>
      </c>
      <c r="D49" s="10" t="n">
        <v>-0.75</v>
      </c>
      <c r="E49" s="10" t="n">
        <v>0</v>
      </c>
      <c r="F49" s="10" t="n">
        <v>0.45</v>
      </c>
      <c r="G49" s="10" t="n">
        <v>0.75</v>
      </c>
      <c r="H49" s="11" t="n">
        <v>2.25</v>
      </c>
      <c r="I49" s="9" t="inlineStr">
        <is>
          <t>auto_rental</t>
        </is>
      </c>
    </row>
    <row r="50" ht="22" customHeight="1">
      <c r="A50" s="6" t="inlineStr">
        <is>
          <t>Healthcare &amp; Wellness</t>
        </is>
      </c>
    </row>
    <row r="51">
      <c r="A51" s="7" t="inlineStr">
        <is>
          <t>Healthcare &amp; Wellness</t>
        </is>
      </c>
      <c r="B51" s="7" t="inlineStr">
        <is>
          <t>Medical Practice — Primary Care</t>
        </is>
      </c>
      <c r="C51" s="10" t="n">
        <v>-2.7</v>
      </c>
      <c r="D51" s="10" t="n">
        <v>-1.5</v>
      </c>
      <c r="E51" s="10" t="n">
        <v>0</v>
      </c>
      <c r="F51" s="10" t="n">
        <v>0.6</v>
      </c>
      <c r="G51" s="10" t="n">
        <v>0.9</v>
      </c>
      <c r="H51" s="11" t="n">
        <v>3.6</v>
      </c>
      <c r="I51" s="9" t="inlineStr">
        <is>
          <t>medical_primary</t>
        </is>
      </c>
    </row>
    <row r="52">
      <c r="A52" s="7" t="inlineStr">
        <is>
          <t>Healthcare &amp; Wellness</t>
        </is>
      </c>
      <c r="B52" s="7" t="inlineStr">
        <is>
          <t>Dental Practice — General</t>
        </is>
      </c>
      <c r="C52" s="10" t="n">
        <v>-2.5</v>
      </c>
      <c r="D52" s="10" t="n">
        <v>-1.3</v>
      </c>
      <c r="E52" s="10" t="n">
        <v>0</v>
      </c>
      <c r="F52" s="10" t="n">
        <v>0.6</v>
      </c>
      <c r="G52" s="10" t="n">
        <v>0.9</v>
      </c>
      <c r="H52" s="11" t="n">
        <v>3.4</v>
      </c>
      <c r="I52" s="9" t="inlineStr">
        <is>
          <t>dental_general</t>
        </is>
      </c>
    </row>
    <row r="53">
      <c r="A53" s="7" t="inlineStr">
        <is>
          <t>Healthcare &amp; Wellness</t>
        </is>
      </c>
      <c r="B53" s="7" t="inlineStr">
        <is>
          <t>Dental Practice — Specialty (Ortho, Oral Surgery)</t>
        </is>
      </c>
      <c r="C53" s="10" t="n">
        <v>-2.7</v>
      </c>
      <c r="D53" s="10" t="n">
        <v>-1.5</v>
      </c>
      <c r="E53" s="10" t="n">
        <v>0</v>
      </c>
      <c r="F53" s="10" t="n">
        <v>0.6</v>
      </c>
      <c r="G53" s="10" t="n">
        <v>0.9</v>
      </c>
      <c r="H53" s="11" t="n">
        <v>3.6</v>
      </c>
      <c r="I53" s="9" t="inlineStr">
        <is>
          <t>dental_specialty</t>
        </is>
      </c>
    </row>
    <row r="54">
      <c r="A54" s="7" t="inlineStr">
        <is>
          <t>Healthcare &amp; Wellness</t>
        </is>
      </c>
      <c r="B54" s="7" t="inlineStr">
        <is>
          <t>Optometry / Optical</t>
        </is>
      </c>
      <c r="C54" s="10" t="n">
        <v>-2.5</v>
      </c>
      <c r="D54" s="10" t="n">
        <v>-1.3</v>
      </c>
      <c r="E54" s="10" t="n">
        <v>0</v>
      </c>
      <c r="F54" s="10" t="n">
        <v>0.6</v>
      </c>
      <c r="G54" s="10" t="n">
        <v>0.9</v>
      </c>
      <c r="H54" s="11" t="n">
        <v>3.4</v>
      </c>
      <c r="I54" s="9" t="inlineStr">
        <is>
          <t>optometry</t>
        </is>
      </c>
    </row>
    <row r="55">
      <c r="A55" s="7" t="inlineStr">
        <is>
          <t>Healthcare &amp; Wellness</t>
        </is>
      </c>
      <c r="B55" s="7" t="inlineStr">
        <is>
          <t>Veterinary Practice</t>
        </is>
      </c>
      <c r="C55" s="10" t="n">
        <v>-2.5</v>
      </c>
      <c r="D55" s="10" t="n">
        <v>-1.3</v>
      </c>
      <c r="E55" s="10" t="n">
        <v>0</v>
      </c>
      <c r="F55" s="10" t="n">
        <v>0.6</v>
      </c>
      <c r="G55" s="10" t="n">
        <v>0.9</v>
      </c>
      <c r="H55" s="11" t="n">
        <v>3.4</v>
      </c>
      <c r="I55" s="9" t="inlineStr">
        <is>
          <t>veterinary</t>
        </is>
      </c>
    </row>
    <row r="56">
      <c r="A56" s="7" t="inlineStr">
        <is>
          <t>Healthcare &amp; Wellness</t>
        </is>
      </c>
      <c r="B56" s="7" t="inlineStr">
        <is>
          <t>Physical Therapy / Rehab</t>
        </is>
      </c>
      <c r="C56" s="10" t="n">
        <v>-2.25</v>
      </c>
      <c r="D56" s="10" t="n">
        <v>-1.2</v>
      </c>
      <c r="E56" s="10" t="n">
        <v>0</v>
      </c>
      <c r="F56" s="10" t="n">
        <v>0.52</v>
      </c>
      <c r="G56" s="10" t="n">
        <v>0.83</v>
      </c>
      <c r="H56" s="11" t="n">
        <v>3.08</v>
      </c>
      <c r="I56" s="9" t="inlineStr">
        <is>
          <t>physical_therapy</t>
        </is>
      </c>
    </row>
    <row r="57">
      <c r="A57" s="7" t="inlineStr">
        <is>
          <t>Healthcare &amp; Wellness</t>
        </is>
      </c>
      <c r="B57" s="7" t="inlineStr">
        <is>
          <t>Mental Health / Behavioral Health</t>
        </is>
      </c>
      <c r="C57" s="10" t="n">
        <v>-2.25</v>
      </c>
      <c r="D57" s="10" t="n">
        <v>-1.2</v>
      </c>
      <c r="E57" s="10" t="n">
        <v>0</v>
      </c>
      <c r="F57" s="10" t="n">
        <v>0.52</v>
      </c>
      <c r="G57" s="10" t="n">
        <v>0.83</v>
      </c>
      <c r="H57" s="11" t="n">
        <v>3.08</v>
      </c>
      <c r="I57" s="9" t="inlineStr">
        <is>
          <t>mental_health</t>
        </is>
      </c>
    </row>
    <row r="58">
      <c r="A58" s="7" t="inlineStr">
        <is>
          <t>Healthcare &amp; Wellness</t>
        </is>
      </c>
      <c r="B58" s="7" t="inlineStr">
        <is>
          <t>Behavioral Health — ABA / Autism Services</t>
        </is>
      </c>
      <c r="C58" s="10" t="n">
        <v>-2.25</v>
      </c>
      <c r="D58" s="10" t="n">
        <v>-1.2</v>
      </c>
      <c r="E58" s="10" t="n">
        <v>0</v>
      </c>
      <c r="F58" s="10" t="n">
        <v>0.52</v>
      </c>
      <c r="G58" s="10" t="n">
        <v>0.83</v>
      </c>
      <c r="H58" s="11" t="n">
        <v>3.08</v>
      </c>
      <c r="I58" s="9" t="inlineStr">
        <is>
          <t>aba_autism</t>
        </is>
      </c>
    </row>
    <row r="59">
      <c r="A59" s="7" t="inlineStr">
        <is>
          <t>Healthcare &amp; Wellness</t>
        </is>
      </c>
      <c r="B59" s="7" t="inlineStr">
        <is>
          <t>Med Spa / Aesthetics</t>
        </is>
      </c>
      <c r="C59" s="10" t="n">
        <v>-2.25</v>
      </c>
      <c r="D59" s="10" t="n">
        <v>-1.2</v>
      </c>
      <c r="E59" s="10" t="n">
        <v>0</v>
      </c>
      <c r="F59" s="10" t="n">
        <v>0.52</v>
      </c>
      <c r="G59" s="10" t="n">
        <v>0.83</v>
      </c>
      <c r="H59" s="11" t="n">
        <v>3.08</v>
      </c>
      <c r="I59" s="9" t="inlineStr">
        <is>
          <t>med_spa</t>
        </is>
      </c>
    </row>
    <row r="60">
      <c r="A60" s="7" t="inlineStr">
        <is>
          <t>Healthcare &amp; Wellness</t>
        </is>
      </c>
      <c r="B60" s="7" t="inlineStr">
        <is>
          <t>Home Health / Home Care Agency</t>
        </is>
      </c>
      <c r="C60" s="10" t="n">
        <v>-2.25</v>
      </c>
      <c r="D60" s="10" t="n">
        <v>-1.2</v>
      </c>
      <c r="E60" s="10" t="n">
        <v>0</v>
      </c>
      <c r="F60" s="10" t="n">
        <v>0.52</v>
      </c>
      <c r="G60" s="10" t="n">
        <v>0.83</v>
      </c>
      <c r="H60" s="11" t="n">
        <v>3.08</v>
      </c>
      <c r="I60" s="9" t="inlineStr">
        <is>
          <t>home_health</t>
        </is>
      </c>
    </row>
    <row r="61">
      <c r="A61" s="7" t="inlineStr">
        <is>
          <t>Healthcare &amp; Wellness</t>
        </is>
      </c>
      <c r="B61" s="7" t="inlineStr">
        <is>
          <t>Hospice / Palliative Care</t>
        </is>
      </c>
      <c r="C61" s="10" t="n">
        <v>-2.25</v>
      </c>
      <c r="D61" s="10" t="n">
        <v>-1.2</v>
      </c>
      <c r="E61" s="10" t="n">
        <v>0</v>
      </c>
      <c r="F61" s="10" t="n">
        <v>0.52</v>
      </c>
      <c r="G61" s="10" t="n">
        <v>0.83</v>
      </c>
      <c r="H61" s="11" t="n">
        <v>3.08</v>
      </c>
      <c r="I61" s="9" t="inlineStr">
        <is>
          <t>hospice</t>
        </is>
      </c>
    </row>
    <row r="62">
      <c r="A62" s="7" t="inlineStr">
        <is>
          <t>Healthcare &amp; Wellness</t>
        </is>
      </c>
      <c r="B62" s="7" t="inlineStr">
        <is>
          <t>Fitness / Gym / Studio</t>
        </is>
      </c>
      <c r="C62" s="10" t="n">
        <v>-1.8</v>
      </c>
      <c r="D62" s="10" t="n">
        <v>-0.9</v>
      </c>
      <c r="E62" s="10" t="n">
        <v>0</v>
      </c>
      <c r="F62" s="10" t="n">
        <v>0.45</v>
      </c>
      <c r="G62" s="10" t="n">
        <v>0.75</v>
      </c>
      <c r="H62" s="11" t="n">
        <v>2.55</v>
      </c>
      <c r="I62" s="9" t="inlineStr">
        <is>
          <t>fitness</t>
        </is>
      </c>
    </row>
    <row r="63">
      <c r="A63" s="7" t="inlineStr">
        <is>
          <t>Healthcare &amp; Wellness</t>
        </is>
      </c>
      <c r="B63" s="7" t="inlineStr">
        <is>
          <t>Pharmacy — Independent</t>
        </is>
      </c>
      <c r="C63" s="10" t="n">
        <v>-1.2</v>
      </c>
      <c r="D63" s="10" t="n">
        <v>-0.6</v>
      </c>
      <c r="E63" s="10" t="n">
        <v>0</v>
      </c>
      <c r="F63" s="10" t="n">
        <v>0.3</v>
      </c>
      <c r="G63" s="10" t="n">
        <v>0.6</v>
      </c>
      <c r="H63" s="11" t="n">
        <v>1.8</v>
      </c>
      <c r="I63" s="9" t="inlineStr">
        <is>
          <t>pharmacy</t>
        </is>
      </c>
    </row>
    <row r="64" ht="22" customHeight="1">
      <c r="A64" s="6" t="inlineStr">
        <is>
          <t>Professional Services</t>
        </is>
      </c>
    </row>
    <row r="65">
      <c r="A65" s="7" t="inlineStr">
        <is>
          <t>Professional Services</t>
        </is>
      </c>
      <c r="B65" s="7" t="inlineStr">
        <is>
          <t>CPA / Accounting Firm</t>
        </is>
      </c>
      <c r="C65" s="10" t="n">
        <v>-2.2</v>
      </c>
      <c r="D65" s="10" t="n">
        <v>-1.1</v>
      </c>
      <c r="E65" s="10" t="n">
        <v>0</v>
      </c>
      <c r="F65" s="10" t="n">
        <v>0.6</v>
      </c>
      <c r="G65" s="10" t="n">
        <v>0.9</v>
      </c>
      <c r="H65" s="11" t="n">
        <v>3.1</v>
      </c>
      <c r="I65" s="9" t="inlineStr">
        <is>
          <t>cpa_accounting</t>
        </is>
      </c>
    </row>
    <row r="66">
      <c r="A66" s="7" t="inlineStr">
        <is>
          <t>Professional Services</t>
        </is>
      </c>
      <c r="B66" s="7" t="inlineStr">
        <is>
          <t>Law Firm — General Practice</t>
        </is>
      </c>
      <c r="C66" s="10" t="n">
        <v>-2.5</v>
      </c>
      <c r="D66" s="10" t="n">
        <v>-1.3</v>
      </c>
      <c r="E66" s="10" t="n">
        <v>0</v>
      </c>
      <c r="F66" s="10" t="n">
        <v>0.6</v>
      </c>
      <c r="G66" s="10" t="n">
        <v>0.9</v>
      </c>
      <c r="H66" s="11" t="n">
        <v>3.4</v>
      </c>
      <c r="I66" s="9" t="inlineStr">
        <is>
          <t>law_general</t>
        </is>
      </c>
    </row>
    <row r="67">
      <c r="A67" s="7" t="inlineStr">
        <is>
          <t>Professional Services</t>
        </is>
      </c>
      <c r="B67" s="7" t="inlineStr">
        <is>
          <t>Law Firm — Personal Injury (Contingency)</t>
        </is>
      </c>
      <c r="C67" s="10" t="n">
        <v>-2.5</v>
      </c>
      <c r="D67" s="10" t="n">
        <v>-1.3</v>
      </c>
      <c r="E67" s="10" t="n">
        <v>0</v>
      </c>
      <c r="F67" s="10" t="n">
        <v>0.6</v>
      </c>
      <c r="G67" s="10" t="n">
        <v>0.9</v>
      </c>
      <c r="H67" s="11" t="n">
        <v>3.4</v>
      </c>
      <c r="I67" s="9" t="inlineStr">
        <is>
          <t>law_pi</t>
        </is>
      </c>
    </row>
    <row r="68">
      <c r="A68" s="7" t="inlineStr">
        <is>
          <t>Professional Services</t>
        </is>
      </c>
      <c r="B68" s="7" t="inlineStr">
        <is>
          <t>Engineering / Architecture Firm</t>
        </is>
      </c>
      <c r="C68" s="10" t="n">
        <v>-2.3</v>
      </c>
      <c r="D68" s="10" t="n">
        <v>-1.2</v>
      </c>
      <c r="E68" s="10" t="n">
        <v>0</v>
      </c>
      <c r="F68" s="10" t="n">
        <v>0.6</v>
      </c>
      <c r="G68" s="10" t="n">
        <v>0.9</v>
      </c>
      <c r="H68" s="11" t="n">
        <v>3.2</v>
      </c>
      <c r="I68" s="9" t="inlineStr">
        <is>
          <t>engineering</t>
        </is>
      </c>
    </row>
    <row r="69">
      <c r="A69" s="7" t="inlineStr">
        <is>
          <t>Professional Services</t>
        </is>
      </c>
      <c r="B69" s="7" t="inlineStr">
        <is>
          <t>Marketing / Advertising Agency</t>
        </is>
      </c>
      <c r="C69" s="10" t="n">
        <v>-2.5</v>
      </c>
      <c r="D69" s="10" t="n">
        <v>-1.3</v>
      </c>
      <c r="E69" s="10" t="n">
        <v>0</v>
      </c>
      <c r="F69" s="10" t="n">
        <v>0.6</v>
      </c>
      <c r="G69" s="10" t="n">
        <v>0.9</v>
      </c>
      <c r="H69" s="11" t="n">
        <v>3.4</v>
      </c>
      <c r="I69" s="9" t="inlineStr">
        <is>
          <t>marketing_agency</t>
        </is>
      </c>
    </row>
    <row r="70">
      <c r="A70" s="7" t="inlineStr">
        <is>
          <t>Professional Services</t>
        </is>
      </c>
      <c r="B70" s="7" t="inlineStr">
        <is>
          <t>PR / Communications Firm</t>
        </is>
      </c>
      <c r="C70" s="10" t="n">
        <v>-2.3</v>
      </c>
      <c r="D70" s="10" t="n">
        <v>-1.2</v>
      </c>
      <c r="E70" s="10" t="n">
        <v>0</v>
      </c>
      <c r="F70" s="10" t="n">
        <v>0.6</v>
      </c>
      <c r="G70" s="10" t="n">
        <v>0.9</v>
      </c>
      <c r="H70" s="11" t="n">
        <v>3.2</v>
      </c>
      <c r="I70" s="9" t="inlineStr">
        <is>
          <t>pr_firm</t>
        </is>
      </c>
    </row>
    <row r="71">
      <c r="A71" s="7" t="inlineStr">
        <is>
          <t>Professional Services</t>
        </is>
      </c>
      <c r="B71" s="7" t="inlineStr">
        <is>
          <t>Management Consulting</t>
        </is>
      </c>
      <c r="C71" s="10" t="n">
        <v>-2.3</v>
      </c>
      <c r="D71" s="10" t="n">
        <v>-1.2</v>
      </c>
      <c r="E71" s="10" t="n">
        <v>0</v>
      </c>
      <c r="F71" s="10" t="n">
        <v>0.6</v>
      </c>
      <c r="G71" s="10" t="n">
        <v>0.9</v>
      </c>
      <c r="H71" s="11" t="n">
        <v>3.2</v>
      </c>
      <c r="I71" s="9" t="inlineStr">
        <is>
          <t>mgmt_consulting</t>
        </is>
      </c>
    </row>
    <row r="72">
      <c r="A72" s="7" t="inlineStr">
        <is>
          <t>Professional Services</t>
        </is>
      </c>
      <c r="B72" s="7" t="inlineStr">
        <is>
          <t>HR / Staffing / Recruiting</t>
        </is>
      </c>
      <c r="C72" s="10" t="n">
        <v>-1.5</v>
      </c>
      <c r="D72" s="10" t="n">
        <v>-0.75</v>
      </c>
      <c r="E72" s="10" t="n">
        <v>0</v>
      </c>
      <c r="F72" s="10" t="n">
        <v>0.38</v>
      </c>
      <c r="G72" s="10" t="n">
        <v>0.6</v>
      </c>
      <c r="H72" s="11" t="n">
        <v>2.1</v>
      </c>
      <c r="I72" s="9" t="inlineStr">
        <is>
          <t>staffing</t>
        </is>
      </c>
    </row>
    <row r="73">
      <c r="A73" s="7" t="inlineStr">
        <is>
          <t>Professional Services</t>
        </is>
      </c>
      <c r="B73" s="7" t="inlineStr">
        <is>
          <t>Insurance Agency — P&amp;C / Commercial</t>
        </is>
      </c>
      <c r="C73" s="10" t="n">
        <v>-2.2</v>
      </c>
      <c r="D73" s="10" t="n">
        <v>-1.1</v>
      </c>
      <c r="E73" s="10" t="n">
        <v>0</v>
      </c>
      <c r="F73" s="10" t="n">
        <v>0.6</v>
      </c>
      <c r="G73" s="10" t="n">
        <v>0.9</v>
      </c>
      <c r="H73" s="11" t="n">
        <v>3.1</v>
      </c>
      <c r="I73" s="9" t="inlineStr">
        <is>
          <t>insurance_pc</t>
        </is>
      </c>
    </row>
    <row r="74">
      <c r="A74" s="7" t="inlineStr">
        <is>
          <t>Professional Services</t>
        </is>
      </c>
      <c r="B74" s="7" t="inlineStr">
        <is>
          <t>Insurance Agency — Life / Benefits</t>
        </is>
      </c>
      <c r="C74" s="10" t="n">
        <v>-2.2</v>
      </c>
      <c r="D74" s="10" t="n">
        <v>-1.1</v>
      </c>
      <c r="E74" s="10" t="n">
        <v>0</v>
      </c>
      <c r="F74" s="10" t="n">
        <v>0.6</v>
      </c>
      <c r="G74" s="10" t="n">
        <v>0.9</v>
      </c>
      <c r="H74" s="11" t="n">
        <v>3.1</v>
      </c>
      <c r="I74" s="9" t="inlineStr">
        <is>
          <t>insurance_life</t>
        </is>
      </c>
    </row>
    <row r="75">
      <c r="A75" s="7" t="inlineStr">
        <is>
          <t>Professional Services</t>
        </is>
      </c>
      <c r="B75" s="7" t="inlineStr">
        <is>
          <t>Financial Planning / Wealth Management (RIA)</t>
        </is>
      </c>
      <c r="C75" s="10" t="n">
        <v>-2.5</v>
      </c>
      <c r="D75" s="10" t="n">
        <v>-1.3</v>
      </c>
      <c r="E75" s="10" t="n">
        <v>0</v>
      </c>
      <c r="F75" s="10" t="n">
        <v>0.6</v>
      </c>
      <c r="G75" s="10" t="n">
        <v>0.9</v>
      </c>
      <c r="H75" s="11" t="n">
        <v>3.4</v>
      </c>
      <c r="I75" s="9" t="inlineStr">
        <is>
          <t>wealth_mgmt</t>
        </is>
      </c>
    </row>
    <row r="76">
      <c r="A76" s="7" t="inlineStr">
        <is>
          <t>Professional Services</t>
        </is>
      </c>
      <c r="B76" s="7" t="inlineStr">
        <is>
          <t>Mortgage Brokerage</t>
        </is>
      </c>
      <c r="C76" s="10" t="n">
        <v>-2</v>
      </c>
      <c r="D76" s="10" t="n">
        <v>-1</v>
      </c>
      <c r="E76" s="10" t="n">
        <v>0</v>
      </c>
      <c r="F76" s="10" t="n">
        <v>0.6</v>
      </c>
      <c r="G76" s="10" t="n">
        <v>0.9</v>
      </c>
      <c r="H76" s="11" t="n">
        <v>2.9</v>
      </c>
      <c r="I76" s="9" t="inlineStr">
        <is>
          <t>mortgage</t>
        </is>
      </c>
    </row>
    <row r="77">
      <c r="A77" s="7" t="inlineStr">
        <is>
          <t>Professional Services</t>
        </is>
      </c>
      <c r="B77" s="7" t="inlineStr">
        <is>
          <t>Title &amp; Escrow Company</t>
        </is>
      </c>
      <c r="C77" s="10" t="n">
        <v>-1.5</v>
      </c>
      <c r="D77" s="10" t="n">
        <v>-0.75</v>
      </c>
      <c r="E77" s="10" t="n">
        <v>0</v>
      </c>
      <c r="F77" s="10" t="n">
        <v>0.38</v>
      </c>
      <c r="G77" s="10" t="n">
        <v>0.6</v>
      </c>
      <c r="H77" s="11" t="n">
        <v>2.1</v>
      </c>
      <c r="I77" s="9" t="inlineStr">
        <is>
          <t>title_escrow</t>
        </is>
      </c>
    </row>
    <row r="78">
      <c r="A78" s="7" t="inlineStr">
        <is>
          <t>Professional Services</t>
        </is>
      </c>
      <c r="B78" s="7" t="inlineStr">
        <is>
          <t>Appraisal / Inspection Services</t>
        </is>
      </c>
      <c r="C78" s="10" t="n">
        <v>-2.2</v>
      </c>
      <c r="D78" s="10" t="n">
        <v>-1.1</v>
      </c>
      <c r="E78" s="10" t="n">
        <v>0</v>
      </c>
      <c r="F78" s="10" t="n">
        <v>0.6</v>
      </c>
      <c r="G78" s="10" t="n">
        <v>0.9</v>
      </c>
      <c r="H78" s="11" t="n">
        <v>3.1</v>
      </c>
      <c r="I78" s="9" t="inlineStr">
        <is>
          <t>appraisal</t>
        </is>
      </c>
    </row>
    <row r="79" ht="22" customHeight="1">
      <c r="A79" s="6" t="inlineStr">
        <is>
          <t>Technology</t>
        </is>
      </c>
    </row>
    <row r="80">
      <c r="A80" s="7" t="inlineStr">
        <is>
          <t>Technology</t>
        </is>
      </c>
      <c r="B80" s="7" t="inlineStr">
        <is>
          <t>SaaS / Software — ARR-Based</t>
        </is>
      </c>
      <c r="C80" s="10" t="n">
        <v>-2.25</v>
      </c>
      <c r="D80" s="10" t="n">
        <v>-1.2</v>
      </c>
      <c r="E80" s="10" t="n">
        <v>0</v>
      </c>
      <c r="F80" s="10" t="n">
        <v>0.6</v>
      </c>
      <c r="G80" s="10" t="n">
        <v>0.9</v>
      </c>
      <c r="H80" s="11" t="n">
        <v>3.15</v>
      </c>
      <c r="I80" s="9" t="inlineStr">
        <is>
          <t>saas</t>
        </is>
      </c>
    </row>
    <row r="81">
      <c r="A81" s="7" t="inlineStr">
        <is>
          <t>Technology</t>
        </is>
      </c>
      <c r="B81" s="7" t="inlineStr">
        <is>
          <t>IT Services / Managed Services (MSP)</t>
        </is>
      </c>
      <c r="C81" s="10" t="n">
        <v>-2.25</v>
      </c>
      <c r="D81" s="10" t="n">
        <v>-1.2</v>
      </c>
      <c r="E81" s="10" t="n">
        <v>0</v>
      </c>
      <c r="F81" s="10" t="n">
        <v>0.6</v>
      </c>
      <c r="G81" s="10" t="n">
        <v>0.9</v>
      </c>
      <c r="H81" s="11" t="n">
        <v>3.15</v>
      </c>
      <c r="I81" s="9" t="inlineStr">
        <is>
          <t>it_services</t>
        </is>
      </c>
    </row>
    <row r="82">
      <c r="A82" s="7" t="inlineStr">
        <is>
          <t>Technology</t>
        </is>
      </c>
      <c r="B82" s="7" t="inlineStr">
        <is>
          <t>Custom Software Development</t>
        </is>
      </c>
      <c r="C82" s="10" t="n">
        <v>-2</v>
      </c>
      <c r="D82" s="10" t="n">
        <v>-1</v>
      </c>
      <c r="E82" s="10" t="n">
        <v>0</v>
      </c>
      <c r="F82" s="10" t="n">
        <v>0.6</v>
      </c>
      <c r="G82" s="10" t="n">
        <v>0.9</v>
      </c>
      <c r="H82" s="11" t="n">
        <v>2.9</v>
      </c>
      <c r="I82" s="9" t="inlineStr">
        <is>
          <t>custom_software</t>
        </is>
      </c>
    </row>
    <row r="83">
      <c r="A83" s="7" t="inlineStr">
        <is>
          <t>Technology</t>
        </is>
      </c>
      <c r="B83" s="7" t="inlineStr">
        <is>
          <t>Technology Staffing / Consulting</t>
        </is>
      </c>
      <c r="C83" s="10" t="n">
        <v>-1.5</v>
      </c>
      <c r="D83" s="10" t="n">
        <v>-0.75</v>
      </c>
      <c r="E83" s="10" t="n">
        <v>0</v>
      </c>
      <c r="F83" s="10" t="n">
        <v>0.38</v>
      </c>
      <c r="G83" s="10" t="n">
        <v>0.6</v>
      </c>
      <c r="H83" s="11" t="n">
        <v>2.1</v>
      </c>
      <c r="I83" s="9" t="inlineStr">
        <is>
          <t>tech_staffing</t>
        </is>
      </c>
    </row>
    <row r="84">
      <c r="A84" s="7" t="inlineStr">
        <is>
          <t>Technology</t>
        </is>
      </c>
      <c r="B84" s="7" t="inlineStr">
        <is>
          <t>Digital Marketing / SEO Agency</t>
        </is>
      </c>
      <c r="C84" s="10" t="n">
        <v>-3</v>
      </c>
      <c r="D84" s="10" t="n">
        <v>-1.8</v>
      </c>
      <c r="E84" s="10" t="n">
        <v>0</v>
      </c>
      <c r="F84" s="10" t="n">
        <v>0.6</v>
      </c>
      <c r="G84" s="10" t="n">
        <v>0.9</v>
      </c>
      <c r="H84" s="11" t="n">
        <v>3.9</v>
      </c>
      <c r="I84" s="9" t="inlineStr">
        <is>
          <t>digital_marketing</t>
        </is>
      </c>
    </row>
    <row r="85">
      <c r="A85" s="7" t="inlineStr">
        <is>
          <t>Technology</t>
        </is>
      </c>
      <c r="B85" s="7" t="inlineStr">
        <is>
          <t>Cybersecurity Services</t>
        </is>
      </c>
      <c r="C85" s="10" t="n">
        <v>-2.25</v>
      </c>
      <c r="D85" s="10" t="n">
        <v>-1.2</v>
      </c>
      <c r="E85" s="10" t="n">
        <v>0</v>
      </c>
      <c r="F85" s="10" t="n">
        <v>0.6</v>
      </c>
      <c r="G85" s="10" t="n">
        <v>0.9</v>
      </c>
      <c r="H85" s="11" t="n">
        <v>3.15</v>
      </c>
      <c r="I85" s="9" t="inlineStr">
        <is>
          <t>cybersecurity</t>
        </is>
      </c>
    </row>
    <row r="86">
      <c r="A86" s="7" t="inlineStr">
        <is>
          <t>Technology</t>
        </is>
      </c>
      <c r="B86" s="7" t="inlineStr">
        <is>
          <t>Data Analytics / BI Consulting</t>
        </is>
      </c>
      <c r="C86" s="10" t="n">
        <v>-2.25</v>
      </c>
      <c r="D86" s="10" t="n">
        <v>-1.2</v>
      </c>
      <c r="E86" s="10" t="n">
        <v>0</v>
      </c>
      <c r="F86" s="10" t="n">
        <v>0.6</v>
      </c>
      <c r="G86" s="10" t="n">
        <v>0.9</v>
      </c>
      <c r="H86" s="11" t="n">
        <v>3.15</v>
      </c>
      <c r="I86" s="9" t="inlineStr">
        <is>
          <t>data_analytics</t>
        </is>
      </c>
    </row>
    <row r="87" ht="22" customHeight="1">
      <c r="A87" s="6" t="inlineStr">
        <is>
          <t>Construction &amp; Real Estate</t>
        </is>
      </c>
    </row>
    <row r="88">
      <c r="A88" s="7" t="inlineStr">
        <is>
          <t>Construction &amp; Real Estate</t>
        </is>
      </c>
      <c r="B88" s="7" t="inlineStr">
        <is>
          <t>General Contracting — Commercial</t>
        </is>
      </c>
      <c r="C88" s="10" t="n">
        <v>-1.95</v>
      </c>
      <c r="D88" s="10" t="n">
        <v>-1.05</v>
      </c>
      <c r="E88" s="10" t="n">
        <v>0</v>
      </c>
      <c r="F88" s="10" t="n">
        <v>0.45</v>
      </c>
      <c r="G88" s="10" t="n">
        <v>0.75</v>
      </c>
      <c r="H88" s="11" t="n">
        <v>2.7</v>
      </c>
      <c r="I88" s="9" t="inlineStr">
        <is>
          <t>gc_commercial</t>
        </is>
      </c>
    </row>
    <row r="89">
      <c r="A89" s="7" t="inlineStr">
        <is>
          <t>Construction &amp; Real Estate</t>
        </is>
      </c>
      <c r="B89" s="7" t="inlineStr">
        <is>
          <t>General Contracting — Residential</t>
        </is>
      </c>
      <c r="C89" s="10" t="n">
        <v>-1.95</v>
      </c>
      <c r="D89" s="10" t="n">
        <v>-1.05</v>
      </c>
      <c r="E89" s="10" t="n">
        <v>0</v>
      </c>
      <c r="F89" s="10" t="n">
        <v>0.45</v>
      </c>
      <c r="G89" s="10" t="n">
        <v>0.75</v>
      </c>
      <c r="H89" s="11" t="n">
        <v>2.7</v>
      </c>
      <c r="I89" s="9" t="inlineStr">
        <is>
          <t>gc_residential</t>
        </is>
      </c>
    </row>
    <row r="90">
      <c r="A90" s="7" t="inlineStr">
        <is>
          <t>Construction &amp; Real Estate</t>
        </is>
      </c>
      <c r="B90" s="7" t="inlineStr">
        <is>
          <t>Specialty Contractor — MEP</t>
        </is>
      </c>
      <c r="C90" s="10" t="n">
        <v>-1.95</v>
      </c>
      <c r="D90" s="10" t="n">
        <v>-1.05</v>
      </c>
      <c r="E90" s="10" t="n">
        <v>0</v>
      </c>
      <c r="F90" s="10" t="n">
        <v>0.45</v>
      </c>
      <c r="G90" s="10" t="n">
        <v>0.75</v>
      </c>
      <c r="H90" s="11" t="n">
        <v>2.7</v>
      </c>
      <c r="I90" s="9" t="inlineStr">
        <is>
          <t>contractor_mep</t>
        </is>
      </c>
    </row>
    <row r="91">
      <c r="A91" s="7" t="inlineStr">
        <is>
          <t>Construction &amp; Real Estate</t>
        </is>
      </c>
      <c r="B91" s="7" t="inlineStr">
        <is>
          <t>Specialty Contractor — Other</t>
        </is>
      </c>
      <c r="C91" s="10" t="n">
        <v>-1.95</v>
      </c>
      <c r="D91" s="10" t="n">
        <v>-1.05</v>
      </c>
      <c r="E91" s="10" t="n">
        <v>0</v>
      </c>
      <c r="F91" s="10" t="n">
        <v>0.45</v>
      </c>
      <c r="G91" s="10" t="n">
        <v>0.75</v>
      </c>
      <c r="H91" s="11" t="n">
        <v>2.7</v>
      </c>
      <c r="I91" s="9" t="inlineStr">
        <is>
          <t>contractor_other</t>
        </is>
      </c>
    </row>
    <row r="92">
      <c r="A92" s="7" t="inlineStr">
        <is>
          <t>Construction &amp; Real Estate</t>
        </is>
      </c>
      <c r="B92" s="7" t="inlineStr">
        <is>
          <t>Real Estate Brokerage</t>
        </is>
      </c>
      <c r="C92" s="10" t="n">
        <v>-2.5</v>
      </c>
      <c r="D92" s="10" t="n">
        <v>-1.3</v>
      </c>
      <c r="E92" s="10" t="n">
        <v>0</v>
      </c>
      <c r="F92" s="10" t="n">
        <v>0.6</v>
      </c>
      <c r="G92" s="10" t="n">
        <v>0.9</v>
      </c>
      <c r="H92" s="11" t="n">
        <v>3.4</v>
      </c>
      <c r="I92" s="9" t="inlineStr">
        <is>
          <t>real_estate_brokerage</t>
        </is>
      </c>
    </row>
    <row r="93">
      <c r="A93" s="7" t="inlineStr">
        <is>
          <t>Construction &amp; Real Estate</t>
        </is>
      </c>
      <c r="B93" s="7" t="inlineStr">
        <is>
          <t>Property Management</t>
        </is>
      </c>
      <c r="C93" s="10" t="n">
        <v>-1.5</v>
      </c>
      <c r="D93" s="10" t="n">
        <v>-0.75</v>
      </c>
      <c r="E93" s="10" t="n">
        <v>0</v>
      </c>
      <c r="F93" s="10" t="n">
        <v>0.38</v>
      </c>
      <c r="G93" s="10" t="n">
        <v>0.6</v>
      </c>
      <c r="H93" s="11" t="n">
        <v>2.1</v>
      </c>
      <c r="I93" s="9" t="inlineStr">
        <is>
          <t>property_mgmt</t>
        </is>
      </c>
    </row>
    <row r="94">
      <c r="A94" s="7" t="inlineStr">
        <is>
          <t>Construction &amp; Real Estate</t>
        </is>
      </c>
      <c r="B94" s="7" t="inlineStr">
        <is>
          <t>Real Estate Appraisal</t>
        </is>
      </c>
      <c r="C94" s="10" t="n">
        <v>-3</v>
      </c>
      <c r="D94" s="10" t="n">
        <v>-1.8</v>
      </c>
      <c r="E94" s="10" t="n">
        <v>0</v>
      </c>
      <c r="F94" s="10" t="n">
        <v>0.6</v>
      </c>
      <c r="G94" s="10" t="n">
        <v>0.9</v>
      </c>
      <c r="H94" s="11" t="n">
        <v>3.9</v>
      </c>
      <c r="I94" s="9" t="inlineStr">
        <is>
          <t>real_estate_appraisal</t>
        </is>
      </c>
    </row>
    <row r="95" ht="22" customHeight="1">
      <c r="A95" s="6" t="inlineStr">
        <is>
          <t>Logistics &amp; Transportation</t>
        </is>
      </c>
    </row>
    <row r="96">
      <c r="A96" s="7" t="inlineStr">
        <is>
          <t>Logistics &amp; Transportation</t>
        </is>
      </c>
      <c r="B96" s="7" t="inlineStr">
        <is>
          <t>Trucking — Asset-Based (OTR)</t>
        </is>
      </c>
      <c r="C96" s="10" t="n">
        <v>-1.5</v>
      </c>
      <c r="D96" s="10" t="n">
        <v>-0.75</v>
      </c>
      <c r="E96" s="10" t="n">
        <v>0</v>
      </c>
      <c r="F96" s="10" t="n">
        <v>0.45</v>
      </c>
      <c r="G96" s="10" t="n">
        <v>0.75</v>
      </c>
      <c r="H96" s="11" t="n">
        <v>2.25</v>
      </c>
      <c r="I96" s="9" t="inlineStr">
        <is>
          <t>trucking_asset</t>
        </is>
      </c>
    </row>
    <row r="97">
      <c r="A97" s="7" t="inlineStr">
        <is>
          <t>Logistics &amp; Transportation</t>
        </is>
      </c>
      <c r="B97" s="7" t="inlineStr">
        <is>
          <t>Trucking — Freight Brokerage (Non-Asset)</t>
        </is>
      </c>
      <c r="C97" s="10" t="n">
        <v>-1.5</v>
      </c>
      <c r="D97" s="10" t="n">
        <v>-0.75</v>
      </c>
      <c r="E97" s="10" t="n">
        <v>0</v>
      </c>
      <c r="F97" s="10" t="n">
        <v>0.38</v>
      </c>
      <c r="G97" s="10" t="n">
        <v>0.6</v>
      </c>
      <c r="H97" s="11" t="n">
        <v>2.1</v>
      </c>
      <c r="I97" s="9" t="inlineStr">
        <is>
          <t>freight_brokerage</t>
        </is>
      </c>
    </row>
    <row r="98">
      <c r="A98" s="7" t="inlineStr">
        <is>
          <t>Logistics &amp; Transportation</t>
        </is>
      </c>
      <c r="B98" s="7" t="inlineStr">
        <is>
          <t>Last Mile Delivery / Courier</t>
        </is>
      </c>
      <c r="C98" s="10" t="n">
        <v>-1.5</v>
      </c>
      <c r="D98" s="10" t="n">
        <v>-0.75</v>
      </c>
      <c r="E98" s="10" t="n">
        <v>0</v>
      </c>
      <c r="F98" s="10" t="n">
        <v>0.45</v>
      </c>
      <c r="G98" s="10" t="n">
        <v>0.75</v>
      </c>
      <c r="H98" s="11" t="n">
        <v>2.25</v>
      </c>
      <c r="I98" s="9" t="inlineStr">
        <is>
          <t>last_mile</t>
        </is>
      </c>
    </row>
    <row r="99">
      <c r="A99" s="7" t="inlineStr">
        <is>
          <t>Logistics &amp; Transportation</t>
        </is>
      </c>
      <c r="B99" s="7" t="inlineStr">
        <is>
          <t>Warehousing &amp; 3PL</t>
        </is>
      </c>
      <c r="C99" s="10" t="n">
        <v>-1.5</v>
      </c>
      <c r="D99" s="10" t="n">
        <v>-0.75</v>
      </c>
      <c r="E99" s="10" t="n">
        <v>0</v>
      </c>
      <c r="F99" s="10" t="n">
        <v>0.45</v>
      </c>
      <c r="G99" s="10" t="n">
        <v>0.75</v>
      </c>
      <c r="H99" s="11" t="n">
        <v>2.25</v>
      </c>
      <c r="I99" s="9" t="inlineStr">
        <is>
          <t>warehousing</t>
        </is>
      </c>
    </row>
    <row r="100">
      <c r="A100" s="7" t="inlineStr">
        <is>
          <t>Logistics &amp; Transportation</t>
        </is>
      </c>
      <c r="B100" s="7" t="inlineStr">
        <is>
          <t>Auto Transport / Vehicle Hauling</t>
        </is>
      </c>
      <c r="C100" s="10" t="n">
        <v>-1.5</v>
      </c>
      <c r="D100" s="10" t="n">
        <v>-0.75</v>
      </c>
      <c r="E100" s="10" t="n">
        <v>0</v>
      </c>
      <c r="F100" s="10" t="n">
        <v>0.45</v>
      </c>
      <c r="G100" s="10" t="n">
        <v>0.75</v>
      </c>
      <c r="H100" s="11" t="n">
        <v>2.25</v>
      </c>
      <c r="I100" s="9" t="inlineStr">
        <is>
          <t>auto_transport</t>
        </is>
      </c>
    </row>
    <row r="101" ht="22" customHeight="1">
      <c r="A101" s="6" t="inlineStr">
        <is>
          <t>Education &amp; Childcare</t>
        </is>
      </c>
    </row>
    <row r="102">
      <c r="A102" s="7" t="inlineStr">
        <is>
          <t>Education &amp; Childcare</t>
        </is>
      </c>
      <c r="B102" s="7" t="inlineStr">
        <is>
          <t>Childcare Center / Daycare</t>
        </is>
      </c>
      <c r="C102" s="10" t="n">
        <v>-1.8</v>
      </c>
      <c r="D102" s="10" t="n">
        <v>-0.9</v>
      </c>
      <c r="E102" s="10" t="n">
        <v>0</v>
      </c>
      <c r="F102" s="10" t="n">
        <v>0.45</v>
      </c>
      <c r="G102" s="10" t="n">
        <v>0.75</v>
      </c>
      <c r="H102" s="11" t="n">
        <v>2.55</v>
      </c>
      <c r="I102" s="9" t="inlineStr">
        <is>
          <t>childcare</t>
        </is>
      </c>
    </row>
    <row r="103">
      <c r="A103" s="7" t="inlineStr">
        <is>
          <t>Education &amp; Childcare</t>
        </is>
      </c>
      <c r="B103" s="7" t="inlineStr">
        <is>
          <t>Private School / K-12</t>
        </is>
      </c>
      <c r="C103" s="10" t="n">
        <v>-1.8</v>
      </c>
      <c r="D103" s="10" t="n">
        <v>-0.9</v>
      </c>
      <c r="E103" s="10" t="n">
        <v>0</v>
      </c>
      <c r="F103" s="10" t="n">
        <v>0.45</v>
      </c>
      <c r="G103" s="10" t="n">
        <v>0.75</v>
      </c>
      <c r="H103" s="11" t="n">
        <v>2.55</v>
      </c>
      <c r="I103" s="9" t="inlineStr">
        <is>
          <t>private_school</t>
        </is>
      </c>
    </row>
    <row r="104">
      <c r="A104" s="7" t="inlineStr">
        <is>
          <t>Education &amp; Childcare</t>
        </is>
      </c>
      <c r="B104" s="7" t="inlineStr">
        <is>
          <t>Tutoring / Test Prep</t>
        </is>
      </c>
      <c r="C104" s="10" t="n">
        <v>-1.8</v>
      </c>
      <c r="D104" s="10" t="n">
        <v>-0.9</v>
      </c>
      <c r="E104" s="10" t="n">
        <v>0</v>
      </c>
      <c r="F104" s="10" t="n">
        <v>0.45</v>
      </c>
      <c r="G104" s="10" t="n">
        <v>0.75</v>
      </c>
      <c r="H104" s="11" t="n">
        <v>2.55</v>
      </c>
      <c r="I104" s="9" t="inlineStr">
        <is>
          <t>tutoring</t>
        </is>
      </c>
    </row>
    <row r="105">
      <c r="A105" s="7" t="inlineStr">
        <is>
          <t>Education &amp; Childcare</t>
        </is>
      </c>
      <c r="B105" s="7" t="inlineStr">
        <is>
          <t>Vocational / Trade School</t>
        </is>
      </c>
      <c r="C105" s="10" t="n">
        <v>-1.8</v>
      </c>
      <c r="D105" s="10" t="n">
        <v>-0.9</v>
      </c>
      <c r="E105" s="10" t="n">
        <v>0</v>
      </c>
      <c r="F105" s="10" t="n">
        <v>0.45</v>
      </c>
      <c r="G105" s="10" t="n">
        <v>0.75</v>
      </c>
      <c r="H105" s="11" t="n">
        <v>2.55</v>
      </c>
      <c r="I105" s="9" t="inlineStr">
        <is>
          <t>vocational_school</t>
        </is>
      </c>
    </row>
    <row r="106">
      <c r="A106" s="7" t="inlineStr">
        <is>
          <t>Education &amp; Childcare</t>
        </is>
      </c>
      <c r="B106" s="7" t="inlineStr">
        <is>
          <t>Corporate Training / E-Learning</t>
        </is>
      </c>
      <c r="C106" s="10" t="n">
        <v>-2.25</v>
      </c>
      <c r="D106" s="10" t="n">
        <v>-1.2</v>
      </c>
      <c r="E106" s="10" t="n">
        <v>0</v>
      </c>
      <c r="F106" s="10" t="n">
        <v>0.6</v>
      </c>
      <c r="G106" s="10" t="n">
        <v>0.9</v>
      </c>
      <c r="H106" s="11" t="n">
        <v>3.15</v>
      </c>
      <c r="I106" s="9" t="inlineStr">
        <is>
          <t>elearning</t>
        </is>
      </c>
    </row>
    <row r="107" ht="22" customHeight="1">
      <c r="A107" s="6" t="inlineStr">
        <is>
          <t>Senior Care</t>
        </is>
      </c>
    </row>
    <row r="108">
      <c r="A108" s="7" t="inlineStr">
        <is>
          <t>Senior Care</t>
        </is>
      </c>
      <c r="B108" s="7" t="inlineStr">
        <is>
          <t>Assisted Living — Small Residential (RCFE)</t>
        </is>
      </c>
      <c r="C108" s="10" t="n">
        <v>-1.95</v>
      </c>
      <c r="D108" s="10" t="n">
        <v>-0.98</v>
      </c>
      <c r="E108" s="10" t="n">
        <v>0</v>
      </c>
      <c r="F108" s="10" t="n">
        <v>0.45</v>
      </c>
      <c r="G108" s="10" t="n">
        <v>0.75</v>
      </c>
      <c r="H108" s="11" t="n">
        <v>2.7</v>
      </c>
      <c r="I108" s="9" t="inlineStr">
        <is>
          <t>assisted_living_small</t>
        </is>
      </c>
    </row>
    <row r="109">
      <c r="A109" s="7" t="inlineStr">
        <is>
          <t>Senior Care</t>
        </is>
      </c>
      <c r="B109" s="7" t="inlineStr">
        <is>
          <t>Assisted Living — Larger Community</t>
        </is>
      </c>
      <c r="C109" s="10" t="n">
        <v>-1.95</v>
      </c>
      <c r="D109" s="10" t="n">
        <v>-0.98</v>
      </c>
      <c r="E109" s="10" t="n">
        <v>0</v>
      </c>
      <c r="F109" s="10" t="n">
        <v>0.45</v>
      </c>
      <c r="G109" s="10" t="n">
        <v>0.75</v>
      </c>
      <c r="H109" s="11" t="n">
        <v>2.7</v>
      </c>
      <c r="I109" s="9" t="inlineStr">
        <is>
          <t>assisted_living_large</t>
        </is>
      </c>
    </row>
    <row r="110">
      <c r="A110" s="7" t="inlineStr">
        <is>
          <t>Senior Care</t>
        </is>
      </c>
      <c r="B110" s="7" t="inlineStr">
        <is>
          <t>Home Care Agency — Private Pay</t>
        </is>
      </c>
      <c r="C110" s="10" t="n">
        <v>-1.95</v>
      </c>
      <c r="D110" s="10" t="n">
        <v>-0.98</v>
      </c>
      <c r="E110" s="10" t="n">
        <v>0</v>
      </c>
      <c r="F110" s="10" t="n">
        <v>0.45</v>
      </c>
      <c r="G110" s="10" t="n">
        <v>0.75</v>
      </c>
      <c r="H110" s="11" t="n">
        <v>2.7</v>
      </c>
      <c r="I110" s="9" t="inlineStr">
        <is>
          <t>home_care_private</t>
        </is>
      </c>
    </row>
    <row r="111">
      <c r="A111" s="7" t="inlineStr">
        <is>
          <t>Senior Care</t>
        </is>
      </c>
      <c r="B111" s="7" t="inlineStr">
        <is>
          <t>Adult Day Services</t>
        </is>
      </c>
      <c r="C111" s="10" t="n">
        <v>-1.95</v>
      </c>
      <c r="D111" s="10" t="n">
        <v>-0.98</v>
      </c>
      <c r="E111" s="10" t="n">
        <v>0</v>
      </c>
      <c r="F111" s="10" t="n">
        <v>0.45</v>
      </c>
      <c r="G111" s="10" t="n">
        <v>0.75</v>
      </c>
      <c r="H111" s="11" t="n">
        <v>2.7</v>
      </c>
      <c r="I111" s="9" t="inlineStr">
        <is>
          <t>adult_day</t>
        </is>
      </c>
    </row>
    <row r="112" ht="22" customHeight="1">
      <c r="A112" s="6" t="inlineStr">
        <is>
          <t>Personal Services</t>
        </is>
      </c>
    </row>
    <row r="113">
      <c r="A113" s="7" t="inlineStr">
        <is>
          <t>Personal Services</t>
        </is>
      </c>
      <c r="B113" s="7" t="inlineStr">
        <is>
          <t>Hair Salon / Barber Shop</t>
        </is>
      </c>
      <c r="C113" s="10" t="n">
        <v>-1.8</v>
      </c>
      <c r="D113" s="10" t="n">
        <v>-0.9</v>
      </c>
      <c r="E113" s="10" t="n">
        <v>0</v>
      </c>
      <c r="F113" s="10" t="n">
        <v>0.45</v>
      </c>
      <c r="G113" s="10" t="n">
        <v>0.75</v>
      </c>
      <c r="H113" s="11" t="n">
        <v>2.55</v>
      </c>
      <c r="I113" s="9" t="inlineStr">
        <is>
          <t>hair_salon</t>
        </is>
      </c>
    </row>
    <row r="114">
      <c r="A114" s="7" t="inlineStr">
        <is>
          <t>Personal Services</t>
        </is>
      </c>
      <c r="B114" s="7" t="inlineStr">
        <is>
          <t>Spa / Day Spa</t>
        </is>
      </c>
      <c r="C114" s="10" t="n">
        <v>-1.8</v>
      </c>
      <c r="D114" s="10" t="n">
        <v>-0.9</v>
      </c>
      <c r="E114" s="10" t="n">
        <v>0</v>
      </c>
      <c r="F114" s="10" t="n">
        <v>0.45</v>
      </c>
      <c r="G114" s="10" t="n">
        <v>0.75</v>
      </c>
      <c r="H114" s="11" t="n">
        <v>2.55</v>
      </c>
      <c r="I114" s="9" t="inlineStr">
        <is>
          <t>day_spa</t>
        </is>
      </c>
    </row>
    <row r="115">
      <c r="A115" s="7" t="inlineStr">
        <is>
          <t>Personal Services</t>
        </is>
      </c>
      <c r="B115" s="7" t="inlineStr">
        <is>
          <t>Tattoo / Piercing Studio</t>
        </is>
      </c>
      <c r="C115" s="10" t="n">
        <v>-1.8</v>
      </c>
      <c r="D115" s="10" t="n">
        <v>-0.9</v>
      </c>
      <c r="E115" s="10" t="n">
        <v>0</v>
      </c>
      <c r="F115" s="10" t="n">
        <v>0.45</v>
      </c>
      <c r="G115" s="10" t="n">
        <v>0.75</v>
      </c>
      <c r="H115" s="11" t="n">
        <v>2.55</v>
      </c>
      <c r="I115" s="9" t="inlineStr">
        <is>
          <t>tattoo</t>
        </is>
      </c>
    </row>
    <row r="116">
      <c r="A116" s="7" t="inlineStr">
        <is>
          <t>Personal Services</t>
        </is>
      </c>
      <c r="B116" s="7" t="inlineStr">
        <is>
          <t>Funeral Home / Death Care</t>
        </is>
      </c>
      <c r="C116" s="10" t="n">
        <v>-1.8</v>
      </c>
      <c r="D116" s="10" t="n">
        <v>-0.9</v>
      </c>
      <c r="E116" s="10" t="n">
        <v>0</v>
      </c>
      <c r="F116" s="10" t="n">
        <v>0.45</v>
      </c>
      <c r="G116" s="10" t="n">
        <v>0.75</v>
      </c>
      <c r="H116" s="11" t="n">
        <v>2.55</v>
      </c>
      <c r="I116" s="9" t="inlineStr">
        <is>
          <t>funeral_home</t>
        </is>
      </c>
    </row>
    <row r="117">
      <c r="A117" s="7" t="inlineStr">
        <is>
          <t>Personal Services</t>
        </is>
      </c>
      <c r="B117" s="7" t="inlineStr">
        <is>
          <t>Wedding / Event Planning</t>
        </is>
      </c>
      <c r="C117" s="10" t="n">
        <v>-1.8</v>
      </c>
      <c r="D117" s="10" t="n">
        <v>-0.9</v>
      </c>
      <c r="E117" s="10" t="n">
        <v>0</v>
      </c>
      <c r="F117" s="10" t="n">
        <v>0.45</v>
      </c>
      <c r="G117" s="10" t="n">
        <v>0.75</v>
      </c>
      <c r="H117" s="11" t="n">
        <v>2.55</v>
      </c>
      <c r="I117" s="9" t="inlineStr">
        <is>
          <t>event_planning</t>
        </is>
      </c>
    </row>
    <row r="118">
      <c r="A118" s="7" t="inlineStr">
        <is>
          <t>Personal Services</t>
        </is>
      </c>
      <c r="B118" s="7" t="inlineStr">
        <is>
          <t>Photography / Videography Studio</t>
        </is>
      </c>
      <c r="C118" s="10" t="n">
        <v>-1.8</v>
      </c>
      <c r="D118" s="10" t="n">
        <v>-0.9</v>
      </c>
      <c r="E118" s="10" t="n">
        <v>0</v>
      </c>
      <c r="F118" s="10" t="n">
        <v>0.45</v>
      </c>
      <c r="G118" s="10" t="n">
        <v>0.75</v>
      </c>
      <c r="H118" s="11" t="n">
        <v>2.55</v>
      </c>
      <c r="I118" s="9" t="inlineStr">
        <is>
          <t>photography</t>
        </is>
      </c>
    </row>
    <row r="119" ht="22" customHeight="1">
      <c r="A119" s="6" t="inlineStr">
        <is>
          <t>Agriculture &amp; Environmental</t>
        </is>
      </c>
    </row>
    <row r="120">
      <c r="A120" s="7" t="inlineStr">
        <is>
          <t>Agriculture &amp; Environmental</t>
        </is>
      </c>
      <c r="B120" s="7" t="inlineStr">
        <is>
          <t>Commercial Landscaping / Design-Build</t>
        </is>
      </c>
      <c r="C120" s="10" t="n">
        <v>-1.95</v>
      </c>
      <c r="D120" s="10" t="n">
        <v>-1.05</v>
      </c>
      <c r="E120" s="10" t="n">
        <v>0</v>
      </c>
      <c r="F120" s="10" t="n">
        <v>0.45</v>
      </c>
      <c r="G120" s="10" t="n">
        <v>0.75</v>
      </c>
      <c r="H120" s="11" t="n">
        <v>2.7</v>
      </c>
      <c r="I120" s="9" t="inlineStr">
        <is>
          <t>landscaping_design</t>
        </is>
      </c>
    </row>
    <row r="121">
      <c r="A121" s="7" t="inlineStr">
        <is>
          <t>Agriculture &amp; Environmental</t>
        </is>
      </c>
      <c r="B121" s="7" t="inlineStr">
        <is>
          <t>Tree Service / Arborist</t>
        </is>
      </c>
      <c r="C121" s="10" t="n">
        <v>-1.5</v>
      </c>
      <c r="D121" s="10" t="n">
        <v>-0.75</v>
      </c>
      <c r="E121" s="10" t="n">
        <v>0</v>
      </c>
      <c r="F121" s="10" t="n">
        <v>0.38</v>
      </c>
      <c r="G121" s="10" t="n">
        <v>0.6</v>
      </c>
      <c r="H121" s="11" t="n">
        <v>2.1</v>
      </c>
      <c r="I121" s="9" t="inlineStr">
        <is>
          <t>tree_service</t>
        </is>
      </c>
    </row>
    <row r="122">
      <c r="A122" s="7" t="inlineStr">
        <is>
          <t>Agriculture &amp; Environmental</t>
        </is>
      </c>
      <c r="B122" s="7" t="inlineStr">
        <is>
          <t>Environmental Services / Remediation</t>
        </is>
      </c>
      <c r="C122" s="10" t="n">
        <v>-1.95</v>
      </c>
      <c r="D122" s="10" t="n">
        <v>-1.05</v>
      </c>
      <c r="E122" s="10" t="n">
        <v>0</v>
      </c>
      <c r="F122" s="10" t="n">
        <v>0.45</v>
      </c>
      <c r="G122" s="10" t="n">
        <v>0.75</v>
      </c>
      <c r="H122" s="11" t="n">
        <v>2.7</v>
      </c>
      <c r="I122" s="9" t="inlineStr">
        <is>
          <t>environmental</t>
        </is>
      </c>
    </row>
    <row r="123">
      <c r="A123" s="7" t="inlineStr">
        <is>
          <t>Agriculture &amp; Environmental</t>
        </is>
      </c>
      <c r="B123" s="7" t="inlineStr">
        <is>
          <t>Waste Management — Small Hauler</t>
        </is>
      </c>
      <c r="C123" s="10" t="n">
        <v>-1.5</v>
      </c>
      <c r="D123" s="10" t="n">
        <v>-0.75</v>
      </c>
      <c r="E123" s="10" t="n">
        <v>0</v>
      </c>
      <c r="F123" s="10" t="n">
        <v>0.45</v>
      </c>
      <c r="G123" s="10" t="n">
        <v>0.75</v>
      </c>
      <c r="H123" s="11" t="n">
        <v>2.25</v>
      </c>
      <c r="I123" s="9" t="inlineStr">
        <is>
          <t>waste_mgmt</t>
        </is>
      </c>
    </row>
    <row r="124">
      <c r="A124" s="7" t="inlineStr">
        <is>
          <t>Agriculture &amp; Environmental</t>
        </is>
      </c>
      <c r="B124" s="7" t="inlineStr">
        <is>
          <t>Irrigation / Water Management</t>
        </is>
      </c>
      <c r="C124" s="10" t="n">
        <v>-1.5</v>
      </c>
      <c r="D124" s="10" t="n">
        <v>-0.75</v>
      </c>
      <c r="E124" s="10" t="n">
        <v>0</v>
      </c>
      <c r="F124" s="10" t="n">
        <v>0.38</v>
      </c>
      <c r="G124" s="10" t="n">
        <v>0.6</v>
      </c>
      <c r="H124" s="11" t="n">
        <v>2.1</v>
      </c>
      <c r="I124" s="9" t="inlineStr">
        <is>
          <t>irrigation</t>
        </is>
      </c>
    </row>
    <row r="125">
      <c r="A125" s="7" t="inlineStr">
        <is>
          <t>Agriculture &amp; Environmental</t>
        </is>
      </c>
      <c r="B125" s="7" t="inlineStr">
        <is>
          <t>Wholesale Nursery</t>
        </is>
      </c>
      <c r="C125" s="10" t="n">
        <v>-1.2</v>
      </c>
      <c r="D125" s="10" t="n">
        <v>-0.6</v>
      </c>
      <c r="E125" s="10" t="n">
        <v>0</v>
      </c>
      <c r="F125" s="10" t="n">
        <v>0.3</v>
      </c>
      <c r="G125" s="10" t="n">
        <v>0.6</v>
      </c>
      <c r="H125" s="11" t="n">
        <v>1.8</v>
      </c>
      <c r="I125" s="9" t="inlineStr">
        <is>
          <t>nursery</t>
        </is>
      </c>
    </row>
    <row r="126" ht="22" customHeight="1">
      <c r="A126" s="6" t="inlineStr">
        <is>
          <t>Publishing &amp; Media</t>
        </is>
      </c>
    </row>
    <row r="127">
      <c r="A127" s="7" t="inlineStr">
        <is>
          <t>Publishing &amp; Media</t>
        </is>
      </c>
      <c r="B127" s="7" t="inlineStr">
        <is>
          <t>Publishing</t>
        </is>
      </c>
      <c r="C127" s="10" t="n">
        <v>-2</v>
      </c>
      <c r="D127" s="10" t="n">
        <v>-1</v>
      </c>
      <c r="E127" s="10" t="n">
        <v>0</v>
      </c>
      <c r="F127" s="10" t="n">
        <v>0.6</v>
      </c>
      <c r="G127" s="10" t="n">
        <v>0.9</v>
      </c>
      <c r="H127" s="11" t="n">
        <v>2.9</v>
      </c>
      <c r="I127" s="9" t="inlineStr">
        <is>
          <t>publishing</t>
        </is>
      </c>
    </row>
    <row r="128">
      <c r="A128" s="7" t="inlineStr">
        <is>
          <t>Publishing &amp; Media</t>
        </is>
      </c>
      <c r="B128" s="7" t="inlineStr">
        <is>
          <t>Graphics / Printing</t>
        </is>
      </c>
      <c r="C128" s="10" t="n">
        <v>-1.8</v>
      </c>
      <c r="D128" s="10" t="n">
        <v>-0.9</v>
      </c>
      <c r="E128" s="10" t="n">
        <v>0</v>
      </c>
      <c r="F128" s="10" t="n">
        <v>0.45</v>
      </c>
      <c r="G128" s="10" t="n">
        <v>0.75</v>
      </c>
      <c r="H128" s="11" t="n">
        <v>2.55</v>
      </c>
      <c r="I128" s="9" t="inlineStr">
        <is>
          <t>printing</t>
        </is>
      </c>
    </row>
    <row r="129" ht="22" customHeight="1">
      <c r="A129" s="6" t="inlineStr">
        <is>
          <t>Other</t>
        </is>
      </c>
    </row>
    <row r="130">
      <c r="A130" s="7" t="inlineStr">
        <is>
          <t>Other</t>
        </is>
      </c>
      <c r="B130" s="7" t="inlineStr">
        <is>
          <t>Other / Not Listed</t>
        </is>
      </c>
      <c r="C130" s="10" t="n">
        <v>-1.95</v>
      </c>
      <c r="D130" s="10" t="n">
        <v>-0.98</v>
      </c>
      <c r="E130" s="10" t="n">
        <v>0</v>
      </c>
      <c r="F130" s="10" t="n">
        <v>0.45</v>
      </c>
      <c r="G130" s="10" t="n">
        <v>0.75</v>
      </c>
      <c r="H130" s="11" t="n">
        <v>2.7</v>
      </c>
      <c r="I130" s="9" t="inlineStr">
        <is>
          <t>other</t>
        </is>
      </c>
    </row>
  </sheetData>
  <mergeCells count="18">
    <mergeCell ref="A29:I29"/>
    <mergeCell ref="A64:I64"/>
    <mergeCell ref="A43:I43"/>
    <mergeCell ref="A95:I95"/>
    <mergeCell ref="A2:I2"/>
    <mergeCell ref="A112:I112"/>
    <mergeCell ref="A107:I107"/>
    <mergeCell ref="A129:I129"/>
    <mergeCell ref="A37:I37"/>
    <mergeCell ref="A50:I50"/>
    <mergeCell ref="A1:I1"/>
    <mergeCell ref="A87:I87"/>
    <mergeCell ref="A79:I79"/>
    <mergeCell ref="A126:I126"/>
    <mergeCell ref="A119:I119"/>
    <mergeCell ref="A12:I12"/>
    <mergeCell ref="A4:I4"/>
    <mergeCell ref="A101:I10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38" customWidth="1" min="1" max="1"/>
    <col width="12" customWidth="1" min="2" max="2"/>
    <col width="12" customWidth="1" min="3" max="3"/>
    <col width="14" customWidth="1" min="4" max="4"/>
    <col width="12" customWidth="1" min="5" max="5"/>
    <col width="14" customWidth="1" min="6" max="6"/>
    <col width="14" customWidth="1" min="7" max="7"/>
  </cols>
  <sheetData>
    <row r="1" ht="28" customHeight="1">
      <c r="A1" s="1" t="inlineStr">
        <is>
          <t>Universal Multiple Adjustments — All Industries</t>
        </is>
      </c>
    </row>
    <row r="2" ht="60" customHeight="1">
      <c r="A2" s="2" t="inlineStr">
        <is>
          <t>These adjustments apply equally across every industry. L3 is the neutral baseline (no adjustment) for most sliders. Customer Concentration is INVERTED — L1 (diversified) is best, L5 (single-customer) is worst. Values are added to the industry base multiple before the years and revenue-scale bonuses.</t>
        </is>
      </c>
    </row>
    <row r="3" ht="30" customHeight="1">
      <c r="A3" s="5" t="inlineStr">
        <is>
          <t>Factor</t>
        </is>
      </c>
      <c r="B3" s="5" t="inlineStr">
        <is>
          <t>L1 (Worst)</t>
        </is>
      </c>
      <c r="C3" s="5" t="inlineStr">
        <is>
          <t>L2</t>
        </is>
      </c>
      <c r="D3" s="5" t="inlineStr">
        <is>
          <t>L3 (Neutral)</t>
        </is>
      </c>
      <c r="E3" s="5" t="inlineStr">
        <is>
          <t>L4</t>
        </is>
      </c>
      <c r="F3" s="5" t="inlineStr">
        <is>
          <t>L5 (Best)</t>
        </is>
      </c>
      <c r="G3" s="5" t="inlineStr">
        <is>
          <t>Max Swing</t>
        </is>
      </c>
    </row>
    <row r="4">
      <c r="A4" s="12" t="inlineStr">
        <is>
          <t>Revenue Growth (3-Year Trend)</t>
        </is>
      </c>
      <c r="B4" s="10" t="n">
        <v>-1</v>
      </c>
      <c r="C4" s="10" t="n">
        <v>-0.5</v>
      </c>
      <c r="D4" s="10" t="n">
        <v>0</v>
      </c>
      <c r="E4" s="10" t="n">
        <v>0.5</v>
      </c>
      <c r="F4" s="10" t="n">
        <v>1.2</v>
      </c>
      <c r="G4" s="11" t="n">
        <v>2.2</v>
      </c>
    </row>
    <row r="5">
      <c r="A5" s="13" t="inlineStr">
        <is>
          <t>L1=Declining, L3=Stable (2–5%), L5=Hypergrowth (15%+)</t>
        </is>
      </c>
    </row>
    <row r="6">
      <c r="A6" s="12" t="inlineStr">
        <is>
          <t>Recurring Revenue %</t>
        </is>
      </c>
      <c r="B6" s="10" t="n">
        <v>-0.5</v>
      </c>
      <c r="C6" s="10" t="n">
        <v>-0.2</v>
      </c>
      <c r="D6" s="10" t="n">
        <v>0.2</v>
      </c>
      <c r="E6" s="10" t="n">
        <v>0.6</v>
      </c>
      <c r="F6" s="10" t="n">
        <v>1</v>
      </c>
      <c r="G6" s="11" t="n">
        <v>1.5</v>
      </c>
    </row>
    <row r="7">
      <c r="A7" s="13" t="inlineStr">
        <is>
          <t>L1=&lt;10%, L3=25–50%, L5=75%+</t>
        </is>
      </c>
    </row>
    <row r="8">
      <c r="A8" s="12" t="inlineStr">
        <is>
          <t>Largest Customer Concentration (INVERTED)</t>
        </is>
      </c>
      <c r="B8" s="10" t="n">
        <v>0.5</v>
      </c>
      <c r="C8" s="10" t="n">
        <v>0.2</v>
      </c>
      <c r="D8" s="10" t="n">
        <v>-0.2</v>
      </c>
      <c r="E8" s="10" t="n">
        <v>-0.7</v>
      </c>
      <c r="F8" s="10" t="n">
        <v>-1.2</v>
      </c>
      <c r="G8" s="11" t="n">
        <v>-1.7</v>
      </c>
    </row>
    <row r="9">
      <c r="A9" s="13" t="inlineStr">
        <is>
          <t>L1=&lt;5% spread (best), L5=&gt;50% (worst). Note negative values at L4–L5.</t>
        </is>
      </c>
    </row>
    <row r="10">
      <c r="A10" s="12" t="inlineStr">
        <is>
          <t>Systems &amp; Process Maturity</t>
        </is>
      </c>
      <c r="B10" s="10" t="n">
        <v>-0.6</v>
      </c>
      <c r="C10" s="10" t="n">
        <v>-0.3</v>
      </c>
      <c r="D10" s="10" t="n">
        <v>0</v>
      </c>
      <c r="E10" s="10" t="n">
        <v>0.3</v>
      </c>
      <c r="F10" s="10" t="n">
        <v>0.7</v>
      </c>
      <c r="G10" s="11" t="n">
        <v>1.3</v>
      </c>
    </row>
    <row r="11">
      <c r="A11" s="13" t="inlineStr">
        <is>
          <t>L1=nothing documented, L3=partial, L5=full SOPs + software</t>
        </is>
      </c>
    </row>
    <row r="12">
      <c r="A12" s="12" t="inlineStr">
        <is>
          <t>Financial Record &amp; Operational Data Quality</t>
        </is>
      </c>
      <c r="B12" s="10" t="n">
        <v>-0.5</v>
      </c>
      <c r="C12" s="10" t="n">
        <v>-0.2</v>
      </c>
      <c r="D12" s="10" t="n">
        <v>0</v>
      </c>
      <c r="E12" s="10" t="n">
        <v>0.2</v>
      </c>
      <c r="F12" s="10" t="n">
        <v>0.4</v>
      </c>
      <c r="G12" s="11" t="n">
        <v>0.9</v>
      </c>
    </row>
    <row r="13">
      <c r="A13" s="13" t="inlineStr">
        <is>
          <t>L1=messy/incomplete, L3=adequate, L5=reviewed/audited</t>
        </is>
      </c>
    </row>
  </sheetData>
  <mergeCells count="7">
    <mergeCell ref="A13:G13"/>
    <mergeCell ref="A1:G1"/>
    <mergeCell ref="A9:G9"/>
    <mergeCell ref="A2:G2"/>
    <mergeCell ref="A7:G7"/>
    <mergeCell ref="A11:G11"/>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2" customWidth="1" min="1" max="1"/>
    <col width="28" customWidth="1" min="2" max="2"/>
    <col width="18" customWidth="1" min="3" max="3"/>
    <col width="60" customWidth="1" min="4" max="4"/>
  </cols>
  <sheetData>
    <row r="1" ht="28" customHeight="1">
      <c r="A1" s="1" t="inlineStr">
        <is>
          <t>Bonus Adjustments — Years in Business &amp; Revenue Scale</t>
        </is>
      </c>
    </row>
    <row r="2" ht="60" customHeight="1">
      <c r="A2" s="2" t="inlineStr">
        <is>
          <t>Both bonuses are flat absolute multiple bumps added on top of the slider adjustments. The final multiple is then floored at 1x.</t>
        </is>
      </c>
    </row>
    <row r="3" ht="30" customHeight="1">
      <c r="A3" s="5" t="inlineStr">
        <is>
          <t>Bonus</t>
        </is>
      </c>
      <c r="B3" s="5" t="inlineStr">
        <is>
          <t>Threshold</t>
        </is>
      </c>
      <c r="C3" s="5" t="inlineStr">
        <is>
          <t>Multiple Bump</t>
        </is>
      </c>
      <c r="D3" s="5" t="inlineStr">
        <is>
          <t>Notes</t>
        </is>
      </c>
    </row>
    <row r="4">
      <c r="A4" s="12" t="inlineStr">
        <is>
          <t>Years in Business</t>
        </is>
      </c>
      <c r="B4" s="7" t="inlineStr">
        <is>
          <t>≥ 10 years</t>
        </is>
      </c>
      <c r="C4" s="14" t="n">
        <v>0.3</v>
      </c>
      <c r="D4" s="7" t="inlineStr">
        <is>
          <t>Demonstrates durability through full economic cycles.</t>
        </is>
      </c>
    </row>
    <row r="5">
      <c r="A5" s="12" t="inlineStr">
        <is>
          <t>Years in Business</t>
        </is>
      </c>
      <c r="B5" s="7" t="inlineStr">
        <is>
          <t>≥ 5 years (and &lt; 10)</t>
        </is>
      </c>
      <c r="C5" s="14" t="n">
        <v>0.1</v>
      </c>
      <c r="D5" s="7" t="inlineStr">
        <is>
          <t>Survival past the start-up risk window.</t>
        </is>
      </c>
    </row>
    <row r="6">
      <c r="A6" s="12" t="inlineStr">
        <is>
          <t>Years in Business</t>
        </is>
      </c>
      <c r="B6" s="7" t="inlineStr">
        <is>
          <t>&lt; 5 years</t>
        </is>
      </c>
      <c r="C6" s="14" t="n">
        <v>0</v>
      </c>
      <c r="D6" s="7" t="inlineStr">
        <is>
          <t>No bonus.</t>
        </is>
      </c>
    </row>
    <row r="7">
      <c r="A7" s="12" t="inlineStr">
        <is>
          <t>Revenue Scale</t>
        </is>
      </c>
      <c r="B7" s="7" t="inlineStr">
        <is>
          <t>≥ $15,000,000</t>
        </is>
      </c>
      <c r="C7" s="14" t="n">
        <v>1</v>
      </c>
      <c r="D7" s="7" t="inlineStr">
        <is>
          <t>Scaled, lower-middle-market profile attracts a wider buyer pool.</t>
        </is>
      </c>
    </row>
    <row r="8">
      <c r="A8" s="12" t="inlineStr">
        <is>
          <t>Revenue Scale</t>
        </is>
      </c>
      <c r="B8" s="7" t="inlineStr">
        <is>
          <t>≥ $5,000,000 (and &lt; $15,000,000)</t>
        </is>
      </c>
      <c r="C8" s="14" t="n">
        <v>0.5</v>
      </c>
      <c r="D8" s="7" t="inlineStr">
        <is>
          <t>Past the lower-middle-market threshold.</t>
        </is>
      </c>
    </row>
    <row r="9">
      <c r="A9" s="12" t="inlineStr">
        <is>
          <t>Revenue Scale</t>
        </is>
      </c>
      <c r="B9" s="7" t="inlineStr">
        <is>
          <t>&lt; $5,000,000</t>
        </is>
      </c>
      <c r="C9" s="14" t="n">
        <v>0</v>
      </c>
      <c r="D9" s="7" t="inlineStr">
        <is>
          <t>No bonus.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s>
  <sheetData>
    <row r="1" ht="28" customHeight="1">
      <c r="A1" s="1" t="inlineStr">
        <is>
          <t>Business Value Score — Factor Weights (0–100 Scale)</t>
        </is>
      </c>
    </row>
    <row r="2" ht="60" customHeight="1">
      <c r="A2" s="2" t="inlineStr">
        <is>
          <t>Score starts at 50 (all sliders at L3 = neutral). Each factor adds or subtracts (adjustment × weight). +5 bonus points if years in business ≥ 10. Final score is rounded and clamped to [10, 100]. Owner dependency uses the industry-specific array from the Owner Dependency Adj sheet.</t>
        </is>
      </c>
    </row>
    <row r="3" ht="30" customHeight="1">
      <c r="A3" s="5" t="inlineStr">
        <is>
          <t>Factor</t>
        </is>
      </c>
      <c r="B3" s="5" t="inlineStr">
        <is>
          <t>Weight</t>
        </is>
      </c>
      <c r="C3" s="5" t="inlineStr">
        <is>
          <t>L1 pts</t>
        </is>
      </c>
      <c r="D3" s="5" t="inlineStr">
        <is>
          <t>L2 pts</t>
        </is>
      </c>
      <c r="E3" s="5" t="inlineStr">
        <is>
          <t>L3 pts</t>
        </is>
      </c>
      <c r="F3" s="5" t="inlineStr">
        <is>
          <t>L4 pts</t>
        </is>
      </c>
      <c r="G3" s="5" t="inlineStr">
        <is>
          <t>L5 pts</t>
        </is>
      </c>
    </row>
    <row r="4">
      <c r="A4" s="12" t="inlineStr">
        <is>
          <t>Revenue Growth (growth)</t>
        </is>
      </c>
      <c r="B4" s="15" t="n">
        <v>11</v>
      </c>
      <c r="C4" s="16" t="n">
        <v>-11</v>
      </c>
      <c r="D4" s="16" t="n">
        <v>-5.5</v>
      </c>
      <c r="E4" s="16" t="n">
        <v>0</v>
      </c>
      <c r="F4" s="16" t="n">
        <v>5.5</v>
      </c>
      <c r="G4" s="16" t="n">
        <v>13.2</v>
      </c>
    </row>
    <row r="5">
      <c r="A5" s="12" t="inlineStr">
        <is>
          <t>Recurring Revenue % (recurring)</t>
        </is>
      </c>
      <c r="B5" s="15" t="n">
        <v>11</v>
      </c>
      <c r="C5" s="16" t="n">
        <v>-5.5</v>
      </c>
      <c r="D5" s="16" t="n">
        <v>-2.2</v>
      </c>
      <c r="E5" s="16" t="n">
        <v>2.2</v>
      </c>
      <c r="F5" s="16" t="n">
        <v>6.6</v>
      </c>
      <c r="G5" s="16" t="n">
        <v>11</v>
      </c>
    </row>
    <row r="6">
      <c r="A6" s="12" t="inlineStr">
        <is>
          <t>Customer Concentration (custConc) — INVERTED</t>
        </is>
      </c>
      <c r="B6" s="15" t="n">
        <v>9</v>
      </c>
      <c r="C6" s="16" t="n">
        <v>4.5</v>
      </c>
      <c r="D6" s="16" t="n">
        <v>1.8</v>
      </c>
      <c r="E6" s="16" t="n">
        <v>-1.8</v>
      </c>
      <c r="F6" s="16" t="n">
        <v>-6.3</v>
      </c>
      <c r="G6" s="16" t="n">
        <v>-10.8</v>
      </c>
    </row>
    <row r="7">
      <c r="A7" s="12" t="inlineStr">
        <is>
          <t>Systems &amp; Process Maturity (systems)</t>
        </is>
      </c>
      <c r="B7" s="15" t="n">
        <v>9</v>
      </c>
      <c r="C7" s="16" t="n">
        <v>-5.4</v>
      </c>
      <c r="D7" s="16" t="n">
        <v>-2.7</v>
      </c>
      <c r="E7" s="16" t="n">
        <v>0</v>
      </c>
      <c r="F7" s="16" t="n">
        <v>2.7</v>
      </c>
      <c r="G7" s="16" t="n">
        <v>6.3</v>
      </c>
    </row>
    <row r="8">
      <c r="A8" s="12" t="inlineStr">
        <is>
          <t>Financial Record Quality (finRec)</t>
        </is>
      </c>
      <c r="B8" s="15" t="n">
        <v>7</v>
      </c>
      <c r="C8" s="16" t="n">
        <v>-3.5</v>
      </c>
      <c r="D8" s="16" t="n">
        <v>-1.4</v>
      </c>
      <c r="E8" s="16" t="n">
        <v>0</v>
      </c>
      <c r="F8" s="16" t="n">
        <v>1.4</v>
      </c>
      <c r="G8" s="16" t="n">
        <v>2.8</v>
      </c>
    </row>
    <row r="9">
      <c r="A9" s="12" t="inlineStr">
        <is>
          <t>Owner Dep / Mgmt Team (ownerDep)</t>
        </is>
      </c>
      <c r="B9" s="15" t="n">
        <v>12</v>
      </c>
      <c r="C9" s="17" t="inlineStr">
        <is>
          <t>Industry-specific array × 12 (see Owner Dependency Adj sheet)</t>
        </is>
      </c>
    </row>
    <row r="10">
      <c r="A10" s="12" t="inlineStr">
        <is>
          <t>Years in Business (≥ 10 years)</t>
        </is>
      </c>
      <c r="B10" s="17" t="inlineStr">
        <is>
          <t>+5 pts if years ≥ 10 (no bonus otherwise)</t>
        </is>
      </c>
    </row>
    <row r="12" ht="30" customHeight="1">
      <c r="A12" s="5" t="inlineStr">
        <is>
          <t>Score Range</t>
        </is>
      </c>
      <c r="B12" s="5" t="inlineStr">
        <is>
          <t>Label</t>
        </is>
      </c>
      <c r="C12" s="5" t="inlineStr">
        <is>
          <t>Descriptor Shown on Results Page</t>
        </is>
      </c>
      <c r="D12" s="18" t="n"/>
      <c r="E12" s="18" t="n"/>
      <c r="F12" s="18" t="n"/>
      <c r="G12" s="19" t="n"/>
    </row>
    <row r="13">
      <c r="A13" s="7" t="inlineStr">
        <is>
          <t>80–100</t>
        </is>
      </c>
      <c r="B13" s="12" t="inlineStr">
        <is>
          <t>Excellent</t>
        </is>
      </c>
      <c r="C13" s="7" t="inlineStr">
        <is>
          <t>Excellent — your business is well-positioned for a premium exit.</t>
        </is>
      </c>
    </row>
    <row r="14">
      <c r="A14" s="7" t="inlineStr">
        <is>
          <t>65–79</t>
        </is>
      </c>
      <c r="B14" s="12" t="inlineStr">
        <is>
          <t>Good</t>
        </is>
      </c>
      <c r="C14" s="7" t="inlineStr">
        <is>
          <t>Good — solid fundamentals with specific opportunities to increase value.</t>
        </is>
      </c>
    </row>
    <row r="15">
      <c r="A15" s="7" t="inlineStr">
        <is>
          <t>50–64</t>
        </is>
      </c>
      <c r="B15" s="12" t="inlineStr">
        <is>
          <t>Fair</t>
        </is>
      </c>
      <c r="C15" s="7" t="inlineStr">
        <is>
          <t>Fair — meaningful improvements could significantly lift your valuation.</t>
        </is>
      </c>
    </row>
    <row r="16">
      <c r="A16" s="7" t="inlineStr">
        <is>
          <t>10–49</t>
        </is>
      </c>
      <c r="B16" s="12" t="inlineStr">
        <is>
          <t>Developing</t>
        </is>
      </c>
      <c r="C16" s="7" t="inlineStr">
        <is>
          <t>Developing — there are clear steps that could substantially increase what buyers will pay.</t>
        </is>
      </c>
    </row>
  </sheetData>
  <mergeCells count="9">
    <mergeCell ref="B10:G10"/>
    <mergeCell ref="A1:G1"/>
    <mergeCell ref="C12:G12"/>
    <mergeCell ref="C16:G16"/>
    <mergeCell ref="C15:G15"/>
    <mergeCell ref="A2:G2"/>
    <mergeCell ref="C14:G14"/>
    <mergeCell ref="C13:G13"/>
    <mergeCell ref="C9:G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14" customWidth="1" min="2" max="2"/>
    <col width="28" customWidth="1" min="3" max="3"/>
    <col width="80" customWidth="1" min="4" max="4"/>
  </cols>
  <sheetData>
    <row r="1" ht="28" customHeight="1">
      <c r="A1" s="1" t="inlineStr">
        <is>
          <t>Valuation Range Bands</t>
        </is>
      </c>
    </row>
    <row r="2" ht="60" customHeight="1">
      <c r="A2" s="2" t="inlineStr">
        <is>
          <t>The base valuation (Adjusted EBITDA × Final Multiple) is spread into a range using these multipliers. Production currently uses 0.85 / 1.00 / 1.15 — a ±15% band around the central estimate, calibrated to typical buyer-negotiation outcomes.</t>
        </is>
      </c>
    </row>
    <row r="3" ht="30" customHeight="1">
      <c r="A3" s="5" t="inlineStr">
        <is>
          <t>Scenario</t>
        </is>
      </c>
      <c r="B3" s="5" t="inlineStr">
        <is>
          <t>Multiplier</t>
        </is>
      </c>
      <c r="C3" s="5" t="inlineStr">
        <is>
          <t>Formula</t>
        </is>
      </c>
      <c r="D3" s="5" t="inlineStr">
        <is>
          <t>Rationale</t>
        </is>
      </c>
    </row>
    <row r="4" ht="36" customHeight="1">
      <c r="A4" s="12" t="inlineStr">
        <is>
          <t>Conservative Value</t>
        </is>
      </c>
      <c r="B4" s="20" t="n">
        <v>0.85</v>
      </c>
      <c r="C4" s="7" t="inlineStr">
        <is>
          <t>baseVal × 0.85</t>
        </is>
      </c>
      <c r="D4" s="7" t="inlineStr">
        <is>
          <t>Reflects buyer negotiation, deal risk, and the reality that most businesses do not achieve full asking price. ~15% haircut.</t>
        </is>
      </c>
    </row>
    <row r="5" ht="36" customHeight="1">
      <c r="A5" s="12" t="inlineStr">
        <is>
          <t>Base Estimated Value</t>
        </is>
      </c>
      <c r="B5" s="20" t="n">
        <v>1</v>
      </c>
      <c r="C5" s="7" t="inlineStr">
        <is>
          <t>adjEBITDA × finalMultiple</t>
        </is>
      </c>
      <c r="D5" s="7" t="inlineStr">
        <is>
          <t>The central estimate the tool stands behind as the most likely fair-market value through a well-run sale process.</t>
        </is>
      </c>
    </row>
    <row r="6" ht="36" customHeight="1">
      <c r="A6" s="12" t="inlineStr">
        <is>
          <t>Optimistic Value</t>
        </is>
      </c>
      <c r="B6" s="20" t="n">
        <v>1.15</v>
      </c>
      <c r="C6" s="7" t="inlineStr">
        <is>
          <t>baseVal × 1.15</t>
        </is>
      </c>
      <c r="D6" s="7" t="inlineStr">
        <is>
          <t>Reflects a competitive process with multiple buyers, a strategic acquirer paying for synergies, or a top-of-market position. ~15% premium.</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6" customWidth="1" min="1" max="1"/>
    <col width="60" customWidth="1" min="2" max="2"/>
    <col width="70" customWidth="1" min="3" max="3"/>
  </cols>
  <sheetData>
    <row r="1" ht="28" customHeight="1">
      <c r="A1" s="1" t="inlineStr">
        <is>
          <t>Trajectory Projection — “After Key Improvements”</t>
        </is>
      </c>
    </row>
    <row r="2" ht="55" customHeight="1">
      <c r="A2" s="2" t="inlineStr">
        <is>
          <t>Shows what the business could be worth after improving its weakest factors. Each factor improvement is capped at 2 slider levels. Total multiple gain is capped at baseMultiple + 3.5. The trajectory uplift is then displayed on the results page as “$X increase in value with key improvements.”</t>
        </is>
      </c>
    </row>
    <row r="3" ht="30" customHeight="1">
      <c r="A3" s="5" t="inlineStr">
        <is>
          <t>Step</t>
        </is>
      </c>
      <c r="B3" s="5" t="inlineStr">
        <is>
          <t>Formula / Logic</t>
        </is>
      </c>
      <c r="C3" s="5" t="inlineStr">
        <is>
          <t>Notes</t>
        </is>
      </c>
    </row>
    <row r="4" ht="38" customHeight="1">
      <c r="A4" s="12" t="inlineStr">
        <is>
          <t>1. clampDelta(arr, idx, max=2)</t>
        </is>
      </c>
      <c r="B4" s="7" t="inlineStr">
        <is>
          <t>adj[min(idx+max,4)] − adj[idx-1]</t>
        </is>
      </c>
      <c r="C4" s="7" t="inlineStr">
        <is>
          <t>Looks at the actual adjustment array values — never linearly interpolated. Caps target at L5 (max=2).</t>
        </is>
      </c>
    </row>
    <row r="5" ht="38" customHeight="1">
      <c r="A5" s="12" t="inlineStr">
        <is>
          <t>2. Per-factor delta</t>
        </is>
      </c>
      <c r="B5" s="7" t="inlineStr">
        <is>
          <t>delta = clampDelta(adjArray, currentLevel, 2)</t>
        </is>
      </c>
      <c r="C5" s="7" t="inlineStr">
        <is>
          <t>Computed independently for growth, recurring, custConc (using reversed array), systems, finRec, and ownerDep.</t>
        </is>
      </c>
    </row>
    <row r="6" ht="38" customHeight="1">
      <c r="A6" s="12" t="inlineStr">
        <is>
          <t>3. Filter &amp; rank</t>
        </is>
      </c>
      <c r="B6" s="7" t="inlineStr">
        <is>
          <t>Keep factors whose current level ≤ 3 (custConc ≥ 3) AND delta &gt; 0; sort by delta DESC; take top 2.</t>
        </is>
      </c>
      <c r="C6" s="7" t="inlineStr">
        <is>
          <t>These two factors drive the displayed “top opportunities” on the results card.</t>
        </is>
      </c>
    </row>
    <row r="7" ht="38" customHeight="1">
      <c r="A7" s="12" t="inlineStr">
        <is>
          <t>4. trajMultipleGain</t>
        </is>
      </c>
      <c r="B7" s="7" t="inlineStr">
        <is>
          <t>Sum of the deltas of the top-2 selected factors</t>
        </is>
      </c>
      <c r="C7" s="7" t="inlineStr">
        <is>
          <t>Total potential multiple improvement from acting on the two biggest gaps.</t>
        </is>
      </c>
    </row>
    <row r="8" ht="38" customHeight="1">
      <c r="A8" s="12" t="inlineStr">
        <is>
          <t>5. trajMultiple</t>
        </is>
      </c>
      <c r="B8" s="7" t="inlineStr">
        <is>
          <t>MAX(finalMultiple, MIN(finalMultiple + gain, baseMultiple + 3.5))</t>
        </is>
      </c>
      <c r="C8" s="7" t="inlineStr">
        <is>
          <t>Floor: never drops below today's final multiple. Cap: never exceeds baseMultiple + 3.5.</t>
        </is>
      </c>
    </row>
    <row r="9" ht="38" customHeight="1">
      <c r="A9" s="12" t="inlineStr">
        <is>
          <t>6. trajVal</t>
        </is>
      </c>
      <c r="B9" s="7" t="inlineStr">
        <is>
          <t>adjEBITDA × trajMultiple</t>
        </is>
      </c>
      <c r="C9" s="7" t="inlineStr">
        <is>
          <t>Trajectory valuation (the “after key improvements” base value).</t>
        </is>
      </c>
    </row>
    <row r="10" ht="38" customHeight="1">
      <c r="A10" s="12" t="inlineStr">
        <is>
          <t>7. trajUplift</t>
        </is>
      </c>
      <c r="B10" s="7" t="inlineStr">
        <is>
          <t>trajVal − baseVal</t>
        </is>
      </c>
      <c r="C10" s="7" t="inlineStr">
        <is>
          <t>Dollar improvement displayed on the results page.</t>
        </is>
      </c>
    </row>
    <row r="11" ht="38" customHeight="1">
      <c r="A11" s="12" t="inlineStr">
        <is>
          <t>8. New range</t>
        </is>
      </c>
      <c r="B11" s="7" t="inlineStr">
        <is>
          <t>low = origLow + trajUplift × 0.85; high = origHigh + trajUplift × 1.15</t>
        </is>
      </c>
      <c r="C11" s="7" t="inlineStr">
        <is>
          <t>The trajectory range shown on the results page (also rounded to whole dollars).</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6" customWidth="1" min="1" max="1"/>
    <col width="60" customWidth="1" min="2" max="2"/>
    <col width="110" customWidth="1" min="3" max="3"/>
  </cols>
  <sheetData>
    <row r="1" ht="28" customHeight="1">
      <c r="A1" s="1" t="inlineStr">
        <is>
          <t>Methodology Notices — Industries Where EBITDA Is Not the Primary Method</t>
        </is>
      </c>
    </row>
    <row r="2" ht="50" customHeight="1">
      <c r="A2" s="2" t="inlineStr">
        <is>
          <t>These industries are flagged in the tool with an inline notice on the results page explaining why an EBITDA multiple is directional only. The full notice text below is exactly what the user sees.</t>
        </is>
      </c>
    </row>
    <row r="3" ht="30" customHeight="1">
      <c r="A3" s="5" t="inlineStr">
        <is>
          <t>Industry Code</t>
        </is>
      </c>
      <c r="B3" s="5" t="inlineStr">
        <is>
          <t>Title</t>
        </is>
      </c>
      <c r="C3" s="5" t="inlineStr">
        <is>
          <t>Body</t>
        </is>
      </c>
    </row>
    <row r="4" ht="110" customHeight="1">
      <c r="A4" s="7" t="inlineStr">
        <is>
          <t>SaaS / Software — ARR-Based
(saas)</t>
        </is>
      </c>
      <c r="B4" s="12" t="inlineStr">
        <is>
          <t>SaaS businesses are typically not valued on an EBITDA multiple.</t>
        </is>
      </c>
      <c r="C4" s="7" t="inlineStr">
        <is>
          <t>This tool uses an EBITDA multiple — the most common method for valuing profitable, owner-operated small businesses. For SaaS companies, however, the primary valuation framework is an ARR (Annual Recurring Revenue) multiple, typically ranging from 3x to 12x ARR depending on growth rate, net revenue retention, and churn. EBITDA can be negative or misleading in high-growth SaaS. That said, this tool is still useful — the Value Score, the factor analysis, and the improvement roadmap will help you identify exactly what drives enterprise value in your business. The valuation range shown is directional at best for your category.</t>
        </is>
      </c>
    </row>
    <row r="5" ht="110" customHeight="1">
      <c r="A5" s="7" t="inlineStr">
        <is>
          <t>Financial Planning / Wealth Management (RIA)
(wealth_mgmt)</t>
        </is>
      </c>
      <c r="B5" s="12" t="inlineStr">
        <is>
          <t>Wealth management and RIA firms are primarily valued on AUM, not EBITDA.</t>
        </is>
      </c>
      <c r="C5" s="7" t="inlineStr">
        <is>
          <t>This tool uses an EBITDA multiple as its primary method. For RIAs and wealth management firms, the standard is an AUM (Assets Under Management) multiple — typically 1% to 3% of AUM — or a recurring revenue multiple applied to fee income. EBITDA is a secondary consideration and can materially understate or overstate value depending on the firm's cost structure. That said, this tool is still valuable — the Value Score and improvement roadmap will surface exactly which factors drive buyer confidence and premium pricing in your business.</t>
        </is>
      </c>
    </row>
    <row r="6" ht="110" customHeight="1">
      <c r="A6" s="7" t="inlineStr">
        <is>
          <t>Insurance Agency — P&amp;C / Commercial
(insurance_pc)</t>
        </is>
      </c>
      <c r="B6" s="12" t="inlineStr">
        <is>
          <t>Insurance agencies are most commonly valued on a revenue or commission multiple, not EBITDA.</t>
        </is>
      </c>
      <c r="C6" s="7" t="inlineStr">
        <is>
          <t>This tool uses an EBITDA multiple. For P&amp;C and commercial insurance agencies, buyers typically apply a multiple of recurring commission revenue — often 1.5x to 3x — based on retention rate, book quality, and carrier relationships. Because commission income is highly recurring and EBITDA margins vary widely, revenue-based methods often produce a more accurate picture. This tool is still a strong directional guide — the value drivers and improvement roadmap apply directly to your business, and the EBITDA multiple provides a reasonable floor estimate.</t>
        </is>
      </c>
    </row>
    <row r="7" ht="110" customHeight="1">
      <c r="A7" s="7" t="inlineStr">
        <is>
          <t>Insurance Agency — Life / Benefits
(insurance_life)</t>
        </is>
      </c>
      <c r="B7" s="12" t="inlineStr">
        <is>
          <t>Life and benefits agencies are most commonly valued on a revenue or commission multiple, not EBITDA.</t>
        </is>
      </c>
      <c r="C7" s="7" t="inlineStr">
        <is>
          <t>This tool uses an EBITDA multiple. Life insurance and group benefits agencies are typically valued using a multiple of recurring commission revenue, with group benefits books — due to employer relationship stickiness — often commanding premiums. EBITDA margins can vary significantly based on how the owner structures compensation, making revenue-based methods more reliable. This tool still provides a directional valuation and will help you identify the factors that matter most to buyers in your category.</t>
        </is>
      </c>
    </row>
    <row r="8" ht="110" customHeight="1">
      <c r="A8" s="7" t="inlineStr">
        <is>
          <t>Mortgage Brokerage
(mortgage)</t>
        </is>
      </c>
      <c r="B8" s="12" t="inlineStr">
        <is>
          <t>Mortgage brokerages are difficult to value on a standard EBITDA multiple due to revenue cyclicality.</t>
        </is>
      </c>
      <c r="C8" s="7" t="inlineStr">
        <is>
          <t>This tool uses an EBITDA multiple. Mortgage brokerages are highly interest-rate sensitive, and EBITDA can swing dramatically year to year. Buyers typically look at normalized revenue, purchase vs. refi mix, and pipeline strength rather than a simple EBITDA multiple. The result shown here should be treated as a rough order-of-magnitude estimate only. The value drivers analysis is still relevant — recurring purchase relationships, referral networks, and reduced owner dependency are all genuine value levers regardless of the valuation method used.</t>
        </is>
      </c>
    </row>
    <row r="9" ht="110" customHeight="1">
      <c r="A9" s="7" t="inlineStr">
        <is>
          <t>Law Firm — Personal Injury (Contingency)
(law_pi)</t>
        </is>
      </c>
      <c r="B9" s="12" t="inlineStr">
        <is>
          <t>Personal injury contingency practices are not accurately valued on a current EBITDA multiple.</t>
        </is>
      </c>
      <c r="C9" s="7" t="inlineStr">
        <is>
          <t>This tool uses an EBITDA multiple. Contingency-based PI practices are typically valued using a case pipeline and historical settlement analysis — essentially a discounted expected value of the current case inventory — rather than a multiple of current EBITDA, which can be misleading depending on settlement timing. This tool is still useful for identifying improvement opportunities — reduced owner dependency, strong systems, and diversified referral networks are real value drivers in any legal practice — but the valuation range shown should be treated as directional only.</t>
        </is>
      </c>
    </row>
    <row r="10" ht="110" customHeight="1">
      <c r="A10" s="7" t="inlineStr">
        <is>
          <t>Auto Dealership — New
(auto_dealer_new)</t>
        </is>
      </c>
      <c r="B10" s="12" t="inlineStr">
        <is>
          <t>New auto dealerships are not valued on an EBITDA multiple.</t>
        </is>
      </c>
      <c r="C10" s="7" t="inlineStr">
        <is>
          <t>This tool uses an EBITDA multiple. New vehicle dealerships are valued using a completely different framework: Blue Sky value (the intangible value of the franchise and market position) plus Net Asset Value (inventory, real estate, equipment). EBITDA multiples are not the standard method and will not produce an accurate result for your business. The value drivers analysis is still applicable — strong systems, good financial records, and reduced owner dependency improve Blue Sky value and the overall attractiveness of the dealership to a buyer.</t>
        </is>
      </c>
    </row>
    <row r="11" ht="110" customHeight="1">
      <c r="A11" s="7" t="inlineStr">
        <is>
          <t>CPA / Accounting Firm
(cpa_accounting)</t>
        </is>
      </c>
      <c r="B11" s="12" t="inlineStr">
        <is>
          <t>CPA and accounting firms are often valued on a revenue multiple, not EBITDA.</t>
        </is>
      </c>
      <c r="C11" s="7" t="inlineStr">
        <is>
          <t>This tool uses an EBITDA multiple. Accounting practice acquisitions frequently use a revenue multiple — typically 0.8x to 1.3x of annual billings — applied to recurring client revenue rather than EBITDA, because margins vary significantly based on owner compensation structure. A well-run practice with strong recurring client relationships may be worth more on a revenue basis than an EBITDA-based estimate suggests. This estimate is still directionally useful, and the improvement roadmap — particularly around recurring revenue, financial records, and reduced owner dependency — applies directly to what buyers look for.</t>
        </is>
      </c>
    </row>
    <row r="12" ht="110" customHeight="1">
      <c r="A12" s="7" t="inlineStr">
        <is>
          <t>Real Estate Brokerage
(real_estate_brokerage)</t>
        </is>
      </c>
      <c r="B12" s="12" t="inlineStr">
        <is>
          <t>Real estate brokerages are typically valued on gross commission income, not EBITDA.</t>
        </is>
      </c>
      <c r="C12" s="7" t="inlineStr">
        <is>
          <t>This tool uses an EBITDA multiple. Real estate brokerages are commonly valued using a multiple of Gross Commission Income (GCI) or recurring commercial leasing revenue, because agent-dependent brokerages are highly personal and EBITDA can be inconsistent year to year. The result shown here is a directional reference point, not a reliable estimate. The value drivers section is still highly relevant — reduced owner dependency, systems maturity, and durable commercial revenue are what separate a transferable brokerage from a book of personal relationships.</t>
        </is>
      </c>
    </row>
    <row r="13" ht="110" customHeight="1">
      <c r="A13" s="7" t="inlineStr">
        <is>
          <t>E-Commerce — Branded / DTC
(ecommerce_branded)</t>
        </is>
      </c>
      <c r="B13" s="12" t="inlineStr">
        <is>
          <t>E-commerce businesses may be valued using revenue or SDE multiples alongside EBITDA.</t>
        </is>
      </c>
      <c r="C13" s="7" t="inlineStr">
        <is>
          <t>This tool uses an EBITDA multiple, which is appropriate for profitable, mature DTC brands. However, high-growth e-commerce businesses are often also valued on a revenue multiple or SDE (Seller's Discretionary Earnings) basis, with brand equity, customer LTV, and CAC trends factoring heavily into the final number. The estimate here is a reasonable baseline for a profitable brand. The value drivers analysis is directly applicable — customer concentration, recurring subscription revenue, and systems maturity are critical value levers in e-commerce.</t>
        </is>
      </c>
    </row>
    <row r="14" ht="110" customHeight="1">
      <c r="A14" s="7" t="inlineStr">
        <is>
          <t>E-Commerce — Amazon FBA / Marketplace
(ecommerce_amazon)</t>
        </is>
      </c>
      <c r="B14" s="12" t="inlineStr">
        <is>
          <t>Amazon FBA and marketplace businesses carry platform risk that EBITDA multiples may not fully reflect.</t>
        </is>
      </c>
      <c r="C14" s="7" t="inlineStr">
        <is>
          <t>This tool uses an EBITDA multiple, which applies to profitable marketplace businesses. However, heavy dependence on a single platform introduces risk that can discount the multiple significantly — buyers apply a platform concentration discount not fully captured here. Diversification across channels (Shopify, direct, wholesale) materially improves value. The improvement roadmap is still directly applicable — customer diversification, brand registry strength, and financial record quality are real value drivers for marketplace businesses.</t>
        </is>
      </c>
    </row>
    <row r="15" ht="110" customHeight="1">
      <c r="A15" s="7" t="inlineStr">
        <is>
          <t>Dental Practice — Specialty (Ortho, Oral Surgery)
(dental_specialty)</t>
        </is>
      </c>
      <c r="B15" s="12" t="inlineStr">
        <is>
          <t>Specialty dental practices may also be valued on a collections or revenue basis.</t>
        </is>
      </c>
      <c r="C15" s="7" t="inlineStr">
        <is>
          <t>This tool uses an EBITDA multiple, which is used in dental M&amp;A. Specialty practices — particularly orthodontics and oral surgery — are also commonly valued using a multiple of gross collections or production, especially by DSOs. The EBITDA estimate here is directionally reasonable, but a collections-based analysis may produce a different result depending on your procedure mix and overhead structure. The value drivers analysis applies directly — referral network strength, patient retention, and team depth are the primary levers for specialty dental value.</t>
        </is>
      </c>
    </row>
    <row r="16" ht="110" customHeight="1">
      <c r="A16" s="7" t="inlineStr">
        <is>
          <t>Security Systems — Installation &amp; Monitoring
(security_systems)</t>
        </is>
      </c>
      <c r="B16" s="12" t="inlineStr">
        <is>
          <t>Security monitoring businesses with RMR are often valued on a recurring revenue basis.</t>
        </is>
      </c>
      <c r="C16" s="7" t="inlineStr">
        <is>
          <t>This tool uses an EBITDA multiple. Security businesses with meaningful Monthly Recurring Revenue (MRR or RMR) from monitoring contracts are frequently also valued using a multiple of RMR — sometimes 30x to 45x MRR — because the recurring stream is what buyers are paying for. If your monitoring RMR is significant, an RMR-based valuation may produce a materially different result. This estimate is still a useful directional baseline, and recurring revenue, customer retention, and systems maturity are the key drivers regardless of method.</t>
        </is>
      </c>
    </row>
    <row r="17" ht="110" customHeight="1">
      <c r="A17" s="7" t="inlineStr">
        <is>
          <t>Hospice / Palliative Care
(hospice)</t>
        </is>
      </c>
      <c r="B17" s="12" t="inlineStr">
        <is>
          <t>Hospice and palliative care practices may be valued on a census or revenue basis by institutional buyers.</t>
        </is>
      </c>
      <c r="C17" s="7" t="inlineStr">
        <is>
          <t>This tool uses an EBITDA multiple, which is one method used in healthcare M&amp;A. PE and strategic buyers in hospice often use a revenue multiple or census-based model tied to ADC (Average Daily Census) and Medicare certification status. EBITDA can be volatile due to staffing costs, making revenue-based approaches more stable. The valuation here is directional, and the value drivers — particularly financial record quality, systems maturity, and operational data — are directly relevant to how acquirers diligence hospice practices.</t>
        </is>
      </c>
    </row>
    <row r="18" ht="110" customHeight="1">
      <c r="A18" s="7" t="inlineStr">
        <is>
          <t>Behavioral Health — ABA / Autism Services
(aba_autism)</t>
        </is>
      </c>
      <c r="B18" s="12" t="inlineStr">
        <is>
          <t>ABA and autism services businesses are frequently valued on a revenue multiple due to rollup activity.</t>
        </is>
      </c>
      <c r="C18" s="7" t="inlineStr">
        <is>
          <t>This tool uses an EBITDA multiple. Due to very active consolidation by PE platforms, ABA practices are increasingly valued using a revenue multiple — often 1.5x to 2.5x revenue — particularly for practices with strong insurance authorization breadth and BCBA staffing depth. EBITDA can understate value if margins are compressed by growth investment. The directional estimate here is useful, and the improvement roadmap — particularly owner dependency, systems, and financial records — maps directly to what ABA acquirers examine in diligence.</t>
        </is>
      </c>
    </row>
    <row r="19" ht="110" customHeight="1">
      <c r="A19" s="7" t="inlineStr">
        <is>
          <t>Assisted Living — Larger Community
(assisted_living_large)</t>
        </is>
      </c>
      <c r="B19" s="12" t="inlineStr">
        <is>
          <t>Larger assisted living communities often include a real estate component not captured in an EBITDA multiple.</t>
        </is>
      </c>
      <c r="C19" s="7" t="inlineStr">
        <is>
          <t>This tool uses an EBITDA multiple on the operating business. For larger assisted living communities, the real estate is frequently owned separately and valued on a cap rate basis (NOI / cap rate) — which can represent a significant portion of total value not reflected here. If the real estate is included in the sale, a combined valuation methodology is needed. The operating business estimate here is directional, and the value drivers — occupancy, payer mix, and operational quality — directly affect both operating value and real estate value.</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8" customWidth="1" min="1" max="1"/>
    <col width="22" customWidth="1" min="2" max="2"/>
    <col width="22" customWidth="1" min="3" max="3"/>
    <col width="60" customWidth="1" min="4" max="4"/>
  </cols>
  <sheetData>
    <row r="1" ht="28" customHeight="1">
      <c r="A1" s="1" t="inlineStr">
        <is>
          <t>End-to-End Calculation Example (live formulas)</t>
        </is>
      </c>
    </row>
    <row r="2" ht="55" customHeight="1">
      <c r="A2" s="2" t="inlineStr">
        <is>
          <t>Worked example for an HVAC business. Blue cells = inputs you can edit — every downstream value updates automatically. Black cells are calculated. The formulas exactly mirror api/_lib/calculator.ts: comp adj → adjusted EBITDA → slider sum → years bonus → revenue bonus → final multiple → valuation range.</t>
        </is>
      </c>
    </row>
    <row r="3" ht="30" customHeight="1">
      <c r="A3" s="5" t="inlineStr">
        <is>
          <t>Step</t>
        </is>
      </c>
      <c r="B3" s="5" t="inlineStr">
        <is>
          <t>Input / Value</t>
        </is>
      </c>
      <c r="C3" s="5" t="inlineStr">
        <is>
          <t>Result</t>
        </is>
      </c>
      <c r="D3" s="5" t="inlineStr">
        <is>
          <t>Notes</t>
        </is>
      </c>
    </row>
    <row r="4">
      <c r="A4" s="21" t="inlineStr">
        <is>
          <t>INPUTS</t>
        </is>
      </c>
    </row>
    <row r="5">
      <c r="A5" s="7" t="inlineStr">
        <is>
          <t>Industry (display name)</t>
        </is>
      </c>
      <c r="B5" s="22" t="inlineStr">
        <is>
          <t>HVAC</t>
        </is>
      </c>
      <c r="D5" s="7" t="inlineStr">
        <is>
          <t>Edit the base multiple cell below if you change industry.</t>
        </is>
      </c>
    </row>
    <row r="6">
      <c r="A6" s="7" t="inlineStr">
        <is>
          <t>Industry Base Multiple</t>
        </is>
      </c>
      <c r="B6" s="8" t="n">
        <v>4.5</v>
      </c>
      <c r="D6" s="7" t="inlineStr">
        <is>
          <t>Pulled from the Industry Base Multiples sheet.</t>
        </is>
      </c>
    </row>
    <row r="7">
      <c r="A7" s="7" t="inlineStr">
        <is>
          <t>Years in Business</t>
        </is>
      </c>
      <c r="B7" s="22" t="n">
        <v>14</v>
      </c>
      <c r="D7" s="7" t="inlineStr">
        <is>
          <t>Triggers +0.30x bonus when ≥ 10; +0.10x when ≥ 5.</t>
        </is>
      </c>
    </row>
    <row r="8">
      <c r="A8" s="7" t="inlineStr">
        <is>
          <t>Annual Revenue</t>
        </is>
      </c>
      <c r="B8" s="23" t="n">
        <v>4500000</v>
      </c>
      <c r="D8" s="7" t="inlineStr">
        <is>
          <t>Triggers +0.50x bonus ≥ $5,000,000; +1.00x ≥ $15,000,000.</t>
        </is>
      </c>
    </row>
    <row r="9">
      <c r="A9" s="7" t="inlineStr">
        <is>
          <t>Reported EBITDA</t>
        </is>
      </c>
      <c r="B9" s="23" t="n">
        <v>550000</v>
      </c>
    </row>
    <row r="10">
      <c r="A10" s="7" t="inlineStr">
        <is>
          <t>Owner Total Compensation</t>
        </is>
      </c>
      <c r="B10" s="23" t="n">
        <v>220000</v>
      </c>
      <c r="D10" s="7" t="inlineStr">
        <is>
          <t>W-2 + distributions running through P&amp;L.</t>
        </is>
      </c>
    </row>
    <row r="11">
      <c r="A11" s="7" t="inlineStr">
        <is>
          <t>Market Rate for Owner Role</t>
        </is>
      </c>
      <c r="B11" s="23" t="n">
        <v>140000</v>
      </c>
      <c r="D11" s="7" t="inlineStr">
        <is>
          <t>Replacement GM/CEO cost.</t>
        </is>
      </c>
    </row>
    <row r="12">
      <c r="A12" s="7" t="inlineStr">
        <is>
          <t>Other Add-Backs</t>
        </is>
      </c>
      <c r="B12" s="23" t="n">
        <v>25000</v>
      </c>
      <c r="D12" s="7" t="inlineStr">
        <is>
          <t>Non-recurring legal expense (or any other add-back).</t>
        </is>
      </c>
    </row>
    <row r="14">
      <c r="A14" s="21" t="inlineStr">
        <is>
          <t>ADJUSTED EBITDA</t>
        </is>
      </c>
    </row>
    <row r="15">
      <c r="A15" s="7" t="inlineStr">
        <is>
          <t>Compensation Adjustment</t>
        </is>
      </c>
      <c r="C15" s="24">
        <f>B10-B11</f>
        <v/>
      </c>
      <c r="D15" s="7" t="inlineStr">
        <is>
          <t>Owner Total Comp − Market Rate (can go negative).</t>
        </is>
      </c>
    </row>
    <row r="16">
      <c r="A16" s="12" t="inlineStr">
        <is>
          <t>Adjusted EBITDA</t>
        </is>
      </c>
      <c r="C16" s="24">
        <f>B9+C15+B12</f>
        <v/>
      </c>
      <c r="D16" s="7">
        <f> EBITDA + Comp Adj + Add-Backs. Primary valuation driver.</f>
        <v/>
      </c>
    </row>
    <row r="18">
      <c r="A18" s="21" t="inlineStr">
        <is>
          <t>SLIDER INPUTS (1–5)</t>
        </is>
      </c>
    </row>
    <row r="19">
      <c r="A19" s="7" t="inlineStr">
        <is>
          <t>Revenue Growth (growth)</t>
        </is>
      </c>
      <c r="B19" s="22" t="n">
        <v>4</v>
      </c>
      <c r="D19" s="7" t="inlineStr">
        <is>
          <t>Whole integer 1–5. L3 = neutral baseline.</t>
        </is>
      </c>
    </row>
    <row r="20">
      <c r="A20" s="7" t="inlineStr">
        <is>
          <t>Owner Dep / Mgmt Team (ownerDep)</t>
        </is>
      </c>
      <c r="B20" s="22" t="n">
        <v>3</v>
      </c>
      <c r="D20" s="7" t="inlineStr">
        <is>
          <t>Whole integer 1–5. L3 = neutral baseline.</t>
        </is>
      </c>
    </row>
    <row r="21">
      <c r="A21" s="7" t="inlineStr">
        <is>
          <t>Recurring Revenue (recurring)</t>
        </is>
      </c>
      <c r="B21" s="22" t="n">
        <v>2</v>
      </c>
      <c r="D21" s="7" t="inlineStr">
        <is>
          <t>Whole integer 1–5. L3 = neutral baseline.</t>
        </is>
      </c>
    </row>
    <row r="22">
      <c r="A22" s="7" t="inlineStr">
        <is>
          <t>Customer Concentration (custConc)</t>
        </is>
      </c>
      <c r="B22" s="22" t="n">
        <v>2</v>
      </c>
      <c r="D22" s="7" t="inlineStr">
        <is>
          <t>Whole integer 1–5. L3 = neutral baseline.</t>
        </is>
      </c>
    </row>
    <row r="23">
      <c r="A23" s="7" t="inlineStr">
        <is>
          <t>Systems &amp; Process (systems)</t>
        </is>
      </c>
      <c r="B23" s="22" t="n">
        <v>3</v>
      </c>
      <c r="D23" s="7" t="inlineStr">
        <is>
          <t>Whole integer 1–5. L3 = neutral baseline.</t>
        </is>
      </c>
    </row>
    <row r="24">
      <c r="A24" s="7" t="inlineStr">
        <is>
          <t>Financial Records (finRec)</t>
        </is>
      </c>
      <c r="B24" s="22" t="n">
        <v>4</v>
      </c>
      <c r="D24" s="7" t="inlineStr">
        <is>
          <t>Whole integer 1–5. L3 = neutral baseline.</t>
        </is>
      </c>
    </row>
    <row r="25">
      <c r="A25" s="21" t="inlineStr">
        <is>
          <t>MULTIPLE CALCULATION</t>
        </is>
      </c>
    </row>
    <row r="26">
      <c r="A26" s="7" t="inlineStr">
        <is>
          <t>Owner Dep adj (HVAC array INDEX)</t>
        </is>
      </c>
      <c r="B26" s="22" t="inlineStr">
        <is>
          <t>-2.10, -1.05, +0.00, +0.45, +0.75</t>
        </is>
      </c>
      <c r="C26" s="25">
        <f>INDEX({-2.1,-1.05,0.0,0.45,0.75},B20)</f>
        <v/>
      </c>
      <c r="D26" s="7" t="inlineStr">
        <is>
          <t>Industry-specific. Replace the array if the industry changes.</t>
        </is>
      </c>
    </row>
    <row r="27">
      <c r="A27" s="7" t="inlineStr">
        <is>
          <t>Growth adj</t>
        </is>
      </c>
      <c r="B27" s="22" t="inlineStr">
        <is>
          <t>-1.00, -0.50, +0.00, +0.50, +1.20</t>
        </is>
      </c>
      <c r="C27" s="25">
        <f>INDEX({-1.0,-0.5,0.0,0.5,1.2},B19)</f>
        <v/>
      </c>
      <c r="D27" s="7" t="inlineStr">
        <is>
          <t>Universal across all industries.</t>
        </is>
      </c>
    </row>
    <row r="28">
      <c r="A28" s="7" t="inlineStr">
        <is>
          <t>Recurring adj</t>
        </is>
      </c>
      <c r="B28" s="22" t="inlineStr">
        <is>
          <t>-0.50, -0.20, +0.20, +0.60, +1.00</t>
        </is>
      </c>
      <c r="C28" s="25">
        <f>INDEX({-0.5,-0.2,0.2,0.6,1.0},B21)</f>
        <v/>
      </c>
      <c r="D28" s="7" t="inlineStr">
        <is>
          <t>Universal across all industries.</t>
        </is>
      </c>
    </row>
    <row r="29">
      <c r="A29" s="7" t="inlineStr">
        <is>
          <t>Customer Conc adj</t>
        </is>
      </c>
      <c r="B29" s="22" t="inlineStr">
        <is>
          <t>+0.50, +0.20, -0.20, -0.70, -1.20</t>
        </is>
      </c>
      <c r="C29" s="25">
        <f>INDEX({0.5,0.2,-0.2,-0.7,-1.2},B22)</f>
        <v/>
      </c>
      <c r="D29" s="7" t="inlineStr">
        <is>
          <t>Universal across all industries.</t>
        </is>
      </c>
    </row>
    <row r="30">
      <c r="A30" s="7" t="inlineStr">
        <is>
          <t>Systems adj</t>
        </is>
      </c>
      <c r="B30" s="22" t="inlineStr">
        <is>
          <t>-0.60, -0.30, +0.00, +0.30, +0.70</t>
        </is>
      </c>
      <c r="C30" s="25">
        <f>INDEX({-0.6,-0.3,0.0,0.3,0.7},B23)</f>
        <v/>
      </c>
      <c r="D30" s="7" t="inlineStr">
        <is>
          <t>Universal across all industries.</t>
        </is>
      </c>
    </row>
    <row r="31">
      <c r="A31" s="7" t="inlineStr">
        <is>
          <t>Financial Records adj</t>
        </is>
      </c>
      <c r="B31" s="22" t="inlineStr">
        <is>
          <t>-0.50, -0.20, +0.00, +0.20, +0.40</t>
        </is>
      </c>
      <c r="C31" s="25">
        <f>INDEX({-0.5,-0.2,0.0,0.2,0.4},B24)</f>
        <v/>
      </c>
      <c r="D31" s="7" t="inlineStr">
        <is>
          <t>Universal across all industries.</t>
        </is>
      </c>
    </row>
    <row r="32">
      <c r="A32" s="7" t="inlineStr">
        <is>
          <t>Slider Adjustments Sum</t>
        </is>
      </c>
      <c r="C32" s="11">
        <f>C26+C27+C28+C29+C30+C31</f>
        <v/>
      </c>
      <c r="D32" s="7" t="inlineStr">
        <is>
          <t>Sum of all six slider adjustments.</t>
        </is>
      </c>
    </row>
    <row r="33">
      <c r="A33" s="7" t="inlineStr">
        <is>
          <t>Years Bonus</t>
        </is>
      </c>
      <c r="C33" s="11">
        <f>IF(B7&gt;=10,0.3,IF(B7&gt;=5,0.1,0))</f>
        <v/>
      </c>
      <c r="D33" s="7" t="inlineStr">
        <is>
          <t>+0.30x ≥ 10 yrs; +0.10x ≥ 5 yrs; else 0.</t>
        </is>
      </c>
    </row>
    <row r="34">
      <c r="A34" s="7" t="inlineStr">
        <is>
          <t>Revenue Scale Bonus</t>
        </is>
      </c>
      <c r="C34" s="11">
        <f>IF(B8&gt;=15000000,1.0,IF(B8&gt;=5000000,0.5,0))</f>
        <v/>
      </c>
      <c r="D34" s="7" t="inlineStr">
        <is>
          <t>+1.00x ≥ $15,000,000; +0.50x ≥ $5,000,000; else 0.</t>
        </is>
      </c>
    </row>
    <row r="35">
      <c r="A35" s="12" t="inlineStr">
        <is>
          <t>Final Multiple</t>
        </is>
      </c>
      <c r="C35" s="26">
        <f>MAX(1.0,B6+C32+C33+C34)</f>
        <v/>
      </c>
      <c r="D35" s="7">
        <f> MAX(1, base + slider sum + years bonus + revenue bonus).</f>
        <v/>
      </c>
    </row>
    <row r="37">
      <c r="A37" s="21" t="inlineStr">
        <is>
          <t>VALUATION RANGE</t>
        </is>
      </c>
    </row>
    <row r="38">
      <c r="A38" s="12" t="inlineStr">
        <is>
          <t>Base Estimated Value</t>
        </is>
      </c>
      <c r="C38" s="24">
        <f>C16*C35</f>
        <v/>
      </c>
      <c r="D38" s="7">
        <f> Adjusted EBITDA × Final Multiple.</f>
        <v/>
      </c>
    </row>
    <row r="39">
      <c r="A39" s="7" t="inlineStr">
        <is>
          <t>Conservative Value</t>
        </is>
      </c>
      <c r="C39" s="24">
        <f>C38*0.85</f>
        <v/>
      </c>
      <c r="D39" s="7" t="inlineStr">
        <is>
          <t>Base × 0.85.</t>
        </is>
      </c>
    </row>
    <row r="40">
      <c r="A40" s="7" t="inlineStr">
        <is>
          <t>Optimistic Value</t>
        </is>
      </c>
      <c r="C40" s="24">
        <f>C38*1.15</f>
        <v/>
      </c>
      <c r="D40" s="7" t="inlineStr">
        <is>
          <t>Base × 1.15.</t>
        </is>
      </c>
    </row>
    <row r="42">
      <c r="A42" s="21" t="inlineStr">
        <is>
          <t>BUSINESS VALUE SCORE</t>
        </is>
      </c>
    </row>
    <row r="43">
      <c r="A43" s="12" t="inlineStr">
        <is>
          <t>Value Score (0–100)</t>
        </is>
      </c>
      <c r="C43" s="27">
        <f>MIN(100,MAX(10,ROUND(50+C27*11+C26*12+C28*11+C29*9+C30*9+C31*7+IF(B7&gt;=10,5,0),0)))</f>
        <v/>
      </c>
      <c r="D43" s="7">
        <f> ROUND(50 + Σ(adj × weight) + (5 if years ≥ 10), 0), clamped to [10, 100].</f>
        <v/>
      </c>
    </row>
  </sheetData>
  <mergeCells count="8">
    <mergeCell ref="A1:D1"/>
    <mergeCell ref="A37:D37"/>
    <mergeCell ref="A18:D18"/>
    <mergeCell ref="A4:D4"/>
    <mergeCell ref="A25:D25"/>
    <mergeCell ref="A2:D2"/>
    <mergeCell ref="A42:D4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2026-04-30T05:14:57Z</dcterms:created>
  <dcterms:modified xsi:type="dcterms:W3CDTF">2026-04-30T05:14:57Z</dcterms:modified>
</cp:coreProperties>
</file>